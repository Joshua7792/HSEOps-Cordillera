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7" firstSheet="4" activeTab="4" autoFilterDateGrouping="1"/>
  </bookViews>
  <sheets>
    <sheet name="Instructions" sheetId="1" state="visible" r:id="rId1"/>
    <sheet name="Certifications" sheetId="2" state="visible" r:id="rId2"/>
    <sheet name="Contractors" sheetId="3" state="visible" r:id="rId3"/>
    <sheet name="Workers" sheetId="4" state="visible" r:id="rId4"/>
    <sheet name="Tracker" sheetId="5" state="visible" r:id="rId5"/>
    <sheet name="Dashboard" sheetId="6" state="visible" r:id="rId6"/>
  </sheets>
  <definedNames>
    <definedName name="ContractorOption" comment="=Workers!$B$2:INDEX(Workers!$B:$B,LOOKUP(2,1/(Workers!$B:$B&lt;&gt;&quot;&quot;),ROW(Workers!$B:$B)))">Workers!$B$2:INDEX(Workers!$B:$B,LOOKUP(2,1/(Workers!$B:$B&lt;&gt;""),ROW(Workers!$B:$B)))</definedName>
    <definedName name="JobTitleOptions">Workers!$C$2:INDEX(Workers!$C:$C,LOOKUP(2,1/(Workers!$C:$C&lt;&gt;""),ROW(Workers!$C:$C)))</definedName>
    <definedName name="_xlnm._FilterDatabase" localSheetId="4" hidden="1">'Tracker'!$A$2:$AF$200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FF1F3A5F"/>
      <sz val="16"/>
    </font>
    <font>
      <name val="Calibri"/>
      <b val="1"/>
      <color rgb="FF1F3A5F"/>
      <sz val="12"/>
    </font>
    <font>
      <name val="Calibri"/>
      <b val="1"/>
      <color rgb="FFFFFFFF"/>
      <sz val="11"/>
    </font>
    <font>
      <name val="Calibri"/>
      <b val="1"/>
      <color rgb="FF1F3A5F"/>
      <sz val="10"/>
    </font>
    <font>
      <name val="Calibri"/>
      <b val="1"/>
      <color rgb="FF1F3A5F"/>
      <sz val="20"/>
    </font>
    <font>
      <name val="Calibri"/>
      <b val="1"/>
      <color rgb="FF1F3A5F"/>
      <sz val="13"/>
    </font>
    <font>
      <name val="Calibri"/>
      <family val="2"/>
      <b val="1"/>
      <color rgb="FFFFFFFF"/>
      <sz val="11"/>
    </font>
    <font>
      <name val="Calibri"/>
      <color rgb="FF2E7D32"/>
      <sz val="11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2E598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0" fontId="8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dxfs count="12"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F0000"/>
        </patternFill>
      </fill>
    </dxf>
    <dxf>
      <numFmt numFmtId="0" formatCode="General"/>
    </dxf>
    <dxf>
      <fill>
        <patternFill patternType="solid">
          <bgColor rgb="00FF0000"/>
        </patternFill>
      </fill>
    </dxf>
    <dxf>
      <fill>
        <patternFill patternType="solid">
          <bgColor rgb="00F4B084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ertificationsTable" displayName="CertificationsTable" ref="A1:D60" headerRowCount="1">
  <autoFilter ref="A1:D60"/>
  <tableColumns count="4">
    <tableColumn id="1" name="Certification"/>
    <tableColumn id="2" name="Category"/>
    <tableColumn id="3" name="Validity (years, 0=none)"/>
    <tableColumn id="4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ontractorsTable" displayName="ContractorsTable" ref="A1:E50" headerRowCount="1">
  <autoFilter ref="A1:E50"/>
  <tableColumns count="5">
    <tableColumn id="1" name="Contractor Name"/>
    <tableColumn id="2" name="Primary Contact"/>
    <tableColumn id="3" name="Specialty"/>
    <tableColumn id="4" name="Workers (count)" dataDxfId="7">
      <calculatedColumnFormula>IF(A2="","",COUNTIF(Workers!B:B,A2))</calculatedColumnFormula>
    </tableColumn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ersTable" displayName="WorkersTable" ref="A1:I200" headerRowCount="1">
  <autoFilter ref="A1:I200"/>
  <tableColumns count="9">
    <tableColumn id="1" name="Worker Name"/>
    <tableColumn id="2" name="Contractor"/>
    <tableColumn id="3" name="Job Title"/>
    <tableColumn id="4" name="Status"/>
    <tableColumn id="5" name="Employee Code"/>
    <tableColumn id="6" name="Hire Date"/>
    <tableColumn id="7" name="Email"/>
    <tableColumn id="8" name="Phone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:F1"/>
    </sheetView>
  </sheetViews>
  <sheetFormatPr baseColWidth="8" defaultRowHeight="15"/>
  <cols>
    <col width="110" customWidth="1" style="15" min="1" max="1"/>
  </cols>
  <sheetData>
    <row r="1" ht="21" customHeight="1" s="15">
      <c r="A1" s="14" t="inlineStr">
        <is>
          <t>Contractor Certifications Tracker</t>
        </is>
      </c>
    </row>
    <row r="2">
      <c r="A2" s="1" t="n"/>
    </row>
    <row r="3" ht="15.75" customHeight="1" s="15">
      <c r="A3" s="2" t="inlineStr">
        <is>
          <t>How to use this workbook</t>
        </is>
      </c>
    </row>
    <row r="4">
      <c r="A4" s="1" t="inlineStr">
        <is>
          <t>1. Add new contractors on the Contractors tab.</t>
        </is>
      </c>
    </row>
    <row r="5">
      <c r="A5" s="1" t="inlineStr">
        <is>
          <t>2. Add workers on the Workers tab. Each worker belongs to one contractor (pick from dropdown).</t>
        </is>
      </c>
    </row>
    <row r="6">
      <c r="A6" s="1" t="inlineStr">
        <is>
          <t>3. Review required certifications on the Certifications tab. Add new ones if HSE adds them.</t>
        </is>
      </c>
    </row>
    <row r="7">
      <c r="A7" s="1" t="inlineStr">
        <is>
          <t>4. On the Tracker tab, enter the completion date for each worker / certification combo.</t>
        </is>
      </c>
    </row>
    <row r="8">
      <c r="A8" s="1" t="inlineStr">
        <is>
          <t>5. The Dashboard tab auto-updates: compliance %, missing certs, expiring soon.</t>
        </is>
      </c>
    </row>
    <row r="9">
      <c r="A9" s="1" t="n"/>
    </row>
    <row r="10" ht="15.75" customHeight="1" s="15">
      <c r="A10" s="2" t="inlineStr">
        <is>
          <t>Color coding on the Tracker</t>
        </is>
      </c>
    </row>
    <row r="11">
      <c r="A11" s="1" t="inlineStr">
        <is>
          <t>• Red cell     = certification missing (empty)</t>
        </is>
      </c>
    </row>
    <row r="12">
      <c r="A12" s="1" t="inlineStr">
        <is>
          <t>• Yellow cell  = completed, expiring within 60 days</t>
        </is>
      </c>
    </row>
    <row r="13">
      <c r="A13" s="1" t="inlineStr">
        <is>
          <t>• Orange cell  = expired (past validity based on Certifications tab)</t>
        </is>
      </c>
    </row>
    <row r="14">
      <c r="A14" s="1" t="inlineStr">
        <is>
          <t>• Green cell   = current</t>
        </is>
      </c>
    </row>
    <row r="15">
      <c r="A15" s="1" t="n"/>
    </row>
    <row r="16" ht="15.75" customHeight="1" s="15">
      <c r="A16" s="2" t="inlineStr">
        <is>
          <t>Sharing with peers</t>
        </is>
      </c>
    </row>
    <row r="17">
      <c r="A17" s="1" t="inlineStr">
        <is>
          <t>Save this file to OneDrive or SharePoint and turn on co-authoring so peers can edit simultaneously.</t>
        </is>
      </c>
    </row>
    <row r="18">
      <c r="A18" s="1" t="inlineStr">
        <is>
          <t>Every edit is tracked in Version History (File → Info → Version History).</t>
        </is>
      </c>
    </row>
    <row r="19">
      <c r="A19" s="1" t="n"/>
    </row>
    <row r="20" ht="15.75" customHeight="1" s="15">
      <c r="A20" s="2" t="inlineStr">
        <is>
          <t>Notes</t>
        </is>
      </c>
    </row>
    <row r="21">
      <c r="A21" s="1" t="inlineStr">
        <is>
          <t>• Validity years in the Certifications tab drive expiration logic. 0 = no expiration.</t>
        </is>
      </c>
    </row>
    <row r="22">
      <c r="A22" s="1" t="inlineStr">
        <is>
          <t>• Dates must be entered as real dates (mm/dd/yyyy), not text.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B42" sqref="B42"/>
    </sheetView>
  </sheetViews>
  <sheetFormatPr baseColWidth="8" defaultRowHeight="15"/>
  <cols>
    <col width="38" customWidth="1" style="15" min="1" max="1"/>
    <col width="18.140625" bestFit="1" customWidth="1" style="15" min="2" max="2"/>
    <col width="22" customWidth="1" style="15" min="3" max="3"/>
    <col width="38" customWidth="1" style="15" min="4" max="4"/>
  </cols>
  <sheetData>
    <row r="1" ht="30" customHeight="1" s="15">
      <c r="A1" s="7" t="inlineStr">
        <is>
          <t>Certification</t>
        </is>
      </c>
      <c r="B1" s="7" t="inlineStr">
        <is>
          <t>Category</t>
        </is>
      </c>
      <c r="C1" s="7" t="inlineStr">
        <is>
          <t>Validity (years, 0=none)</t>
        </is>
      </c>
      <c r="D1" s="7" t="inlineStr">
        <is>
          <t>Notes</t>
        </is>
      </c>
    </row>
    <row r="2">
      <c r="A2" t="inlineStr">
        <is>
          <t>Protección Contra Caídas</t>
        </is>
      </c>
      <c r="B2" t="inlineStr">
        <is>
          <t>HSE Required</t>
        </is>
      </c>
      <c r="C2" t="n">
        <v>1</v>
      </c>
    </row>
    <row r="3">
      <c r="A3" t="inlineStr">
        <is>
          <t>Flama Expuesta</t>
        </is>
      </c>
      <c r="B3" t="inlineStr">
        <is>
          <t>HSE Required</t>
        </is>
      </c>
      <c r="C3" t="n">
        <v>1</v>
      </c>
    </row>
    <row r="4">
      <c r="A4" t="inlineStr">
        <is>
          <t>Espacios Confinados</t>
        </is>
      </c>
      <c r="B4" t="inlineStr">
        <is>
          <t>HSE Required</t>
        </is>
      </c>
      <c r="C4" t="n">
        <v>1</v>
      </c>
    </row>
    <row r="5">
      <c r="A5" t="inlineStr">
        <is>
          <t>Manejo de Equipo Motorizado</t>
        </is>
      </c>
      <c r="B5" t="inlineStr">
        <is>
          <t>HSE Required</t>
        </is>
      </c>
      <c r="C5" t="n">
        <v>3</v>
      </c>
    </row>
    <row r="6">
      <c r="A6" t="inlineStr">
        <is>
          <t>Excavación o Zanja</t>
        </is>
      </c>
      <c r="B6" t="inlineStr">
        <is>
          <t>HSE Required</t>
        </is>
      </c>
      <c r="C6" t="n">
        <v>1</v>
      </c>
    </row>
    <row r="7">
      <c r="A7" t="inlineStr">
        <is>
          <t>Manejo de Tijeras (Scissor Lift)</t>
        </is>
      </c>
      <c r="B7" t="inlineStr">
        <is>
          <t>HSE Required</t>
        </is>
      </c>
      <c r="C7" t="n">
        <v>3</v>
      </c>
    </row>
    <row r="8">
      <c r="A8" t="inlineStr">
        <is>
          <t>Seguridad Eléctrica</t>
        </is>
      </c>
      <c r="B8" t="inlineStr">
        <is>
          <t>HSE Required</t>
        </is>
      </c>
      <c r="C8" t="n">
        <v>1</v>
      </c>
    </row>
    <row r="9">
      <c r="A9" t="inlineStr">
        <is>
          <t>Lockout</t>
        </is>
      </c>
      <c r="B9" t="inlineStr">
        <is>
          <t>HSE Required</t>
        </is>
      </c>
      <c r="C9" t="n">
        <v>1</v>
      </c>
    </row>
    <row r="10">
      <c r="A10" t="inlineStr">
        <is>
          <t>Manejo de Grúas</t>
        </is>
      </c>
      <c r="B10" t="inlineStr">
        <is>
          <t>HSE Required</t>
        </is>
      </c>
      <c r="C10" t="n">
        <v>3</v>
      </c>
    </row>
    <row r="11">
      <c r="A11" t="inlineStr">
        <is>
          <t>Escaleras</t>
        </is>
      </c>
      <c r="B11" t="inlineStr">
        <is>
          <t>HSE Required</t>
        </is>
      </c>
      <c r="C11" t="n">
        <v>3</v>
      </c>
    </row>
    <row r="12">
      <c r="A12" t="inlineStr">
        <is>
          <t>Andamios</t>
        </is>
      </c>
      <c r="B12" t="inlineStr">
        <is>
          <t>HSE Required</t>
        </is>
      </c>
      <c r="C12" t="n">
        <v>3</v>
      </c>
    </row>
    <row r="13">
      <c r="A13" t="inlineStr">
        <is>
          <t>Trabajos con Plomo o Asbesto</t>
        </is>
      </c>
      <c r="B13" t="inlineStr">
        <is>
          <t>HSE Required</t>
        </is>
      </c>
      <c r="C13" t="n">
        <v>1</v>
      </c>
    </row>
    <row r="14">
      <c r="A14" t="inlineStr">
        <is>
          <t>Comunicación de Riesgos</t>
        </is>
      </c>
      <c r="B14" t="inlineStr">
        <is>
          <t>HSE Required</t>
        </is>
      </c>
      <c r="C14" t="n">
        <v>1</v>
      </c>
    </row>
    <row r="15">
      <c r="A15" t="inlineStr">
        <is>
          <t>Inducción Jacobs/Lilly</t>
        </is>
      </c>
      <c r="B15" t="inlineStr">
        <is>
          <t>Additional Training</t>
        </is>
      </c>
      <c r="C15" t="n">
        <v>1</v>
      </c>
    </row>
    <row r="16">
      <c r="A16" t="inlineStr">
        <is>
          <t>OSHA 40Hr HAZWOPER</t>
        </is>
      </c>
      <c r="B16" t="inlineStr">
        <is>
          <t>Additional Training</t>
        </is>
      </c>
      <c r="C16" t="n">
        <v>0</v>
      </c>
    </row>
    <row r="17">
      <c r="A17" t="inlineStr">
        <is>
          <t>OSHA 8Hr Refresher</t>
        </is>
      </c>
      <c r="B17" t="inlineStr">
        <is>
          <t>Additional Training</t>
        </is>
      </c>
      <c r="C17" t="n">
        <v>1</v>
      </c>
    </row>
    <row r="18">
      <c r="A18" t="inlineStr">
        <is>
          <t>Drilling Safety</t>
        </is>
      </c>
      <c r="B18" t="inlineStr">
        <is>
          <t>Additional Training</t>
        </is>
      </c>
      <c r="C18" t="n">
        <v>3</v>
      </c>
    </row>
    <row r="19">
      <c r="A19" t="inlineStr">
        <is>
          <t>Utility Locating</t>
        </is>
      </c>
      <c r="B19" t="inlineStr">
        <is>
          <t>Additional Training</t>
        </is>
      </c>
      <c r="C19" t="n">
        <v>1</v>
      </c>
    </row>
    <row r="20">
      <c r="A20" t="inlineStr">
        <is>
          <t>OSHA 10</t>
        </is>
      </c>
      <c r="B20" t="inlineStr">
        <is>
          <t>Additional Training</t>
        </is>
      </c>
      <c r="C20" t="n">
        <v>0</v>
      </c>
    </row>
    <row r="21">
      <c r="A21" t="inlineStr">
        <is>
          <t>OSHA 30</t>
        </is>
      </c>
      <c r="B21" t="inlineStr">
        <is>
          <t>Additional Training</t>
        </is>
      </c>
      <c r="C21" t="n">
        <v>0</v>
      </c>
    </row>
    <row r="22">
      <c r="A22" t="inlineStr">
        <is>
          <t>Rebar Safety</t>
        </is>
      </c>
      <c r="B22" t="inlineStr">
        <is>
          <t>Additional Training</t>
        </is>
      </c>
      <c r="C22" t="n">
        <v>0</v>
      </c>
    </row>
    <row r="23">
      <c r="A23" t="inlineStr">
        <is>
          <t>Formwork &amp; Shoring</t>
        </is>
      </c>
      <c r="B23" t="inlineStr">
        <is>
          <t>Additional Training</t>
        </is>
      </c>
      <c r="C23" t="n">
        <v>0</v>
      </c>
    </row>
    <row r="24">
      <c r="A24" t="inlineStr">
        <is>
          <t>Silica Exposure</t>
        </is>
      </c>
      <c r="B24" t="inlineStr">
        <is>
          <t>Additional Training</t>
        </is>
      </c>
      <c r="C24" t="n">
        <v>0</v>
      </c>
    </row>
    <row r="25">
      <c r="A25" t="inlineStr">
        <is>
          <t>Concrete &amp; Masonry</t>
        </is>
      </c>
      <c r="B25" t="inlineStr">
        <is>
          <t>Additional Training</t>
        </is>
      </c>
      <c r="C25" t="n">
        <v>0</v>
      </c>
    </row>
    <row r="26">
      <c r="A26" t="inlineStr">
        <is>
          <t>Equipment Training</t>
        </is>
      </c>
      <c r="B26" t="inlineStr">
        <is>
          <t>Additional Training</t>
        </is>
      </c>
      <c r="C26" t="n">
        <v>0</v>
      </c>
    </row>
    <row r="27">
      <c r="A27" t="inlineStr">
        <is>
          <t>OSHA 30 501</t>
        </is>
      </c>
      <c r="B27" t="inlineStr">
        <is>
          <t>Additional Training</t>
        </is>
      </c>
      <c r="C27" t="n">
        <v>0</v>
      </c>
    </row>
    <row r="28">
      <c r="A28" t="inlineStr">
        <is>
          <t>OSHA 30 511</t>
        </is>
      </c>
      <c r="B28" t="inlineStr">
        <is>
          <t>Additional Training</t>
        </is>
      </c>
      <c r="C28" t="n">
        <v>0</v>
      </c>
    </row>
    <row r="29">
      <c r="A29" t="inlineStr">
        <is>
          <t>MSHA 30 Training 2025</t>
        </is>
      </c>
      <c r="B29" t="inlineStr">
        <is>
          <t>Additional Training</t>
        </is>
      </c>
      <c r="C29" t="n">
        <v>0</v>
      </c>
    </row>
    <row r="30">
      <c r="A30" t="inlineStr">
        <is>
          <t>MSHA 30 Training 2026</t>
        </is>
      </c>
      <c r="B30" t="inlineStr">
        <is>
          <t>Additional Training</t>
        </is>
      </c>
      <c r="C30" t="n">
        <v>0</v>
      </c>
    </row>
    <row r="31">
      <c r="A31" t="inlineStr">
        <is>
          <t>PPE</t>
        </is>
      </c>
      <c r="B31" t="inlineStr">
        <is>
          <t>Additional Training</t>
        </is>
      </c>
      <c r="C31" t="n">
        <v>0</v>
      </c>
    </row>
  </sheetData>
  <dataValidations count="1">
    <dataValidation sqref="B2:B60" showDropDown="0" showInputMessage="0" showErrorMessage="0" allowBlank="1" type="list">
      <formula1>"HSE Required,Additional Training"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D28" sqref="D28"/>
    </sheetView>
  </sheetViews>
  <sheetFormatPr baseColWidth="8" defaultRowHeight="15"/>
  <cols>
    <col width="32" customWidth="1" style="15" min="1" max="1"/>
    <col width="33" customWidth="1" style="15" min="2" max="2"/>
    <col width="28" customWidth="1" style="15" min="3" max="3"/>
    <col width="20.140625" bestFit="1" customWidth="1" style="15" min="4" max="4"/>
    <col width="40" customWidth="1" style="15" min="5" max="5"/>
  </cols>
  <sheetData>
    <row r="1">
      <c r="A1" s="7" t="inlineStr">
        <is>
          <t>Contractor Name</t>
        </is>
      </c>
      <c r="B1" s="7" t="inlineStr">
        <is>
          <t>Primary Contact</t>
        </is>
      </c>
      <c r="C1" s="7" t="inlineStr">
        <is>
          <t>Specialty</t>
        </is>
      </c>
      <c r="D1" s="7" t="inlineStr">
        <is>
          <t>Workers (count)</t>
        </is>
      </c>
      <c r="E1" s="7" t="inlineStr">
        <is>
          <t>Notes</t>
        </is>
      </c>
    </row>
    <row r="2">
      <c r="A2" t="inlineStr">
        <is>
          <t>Cornerstone Industrial Group, Corp</t>
        </is>
      </c>
      <c r="B2" t="inlineStr">
        <is>
          <t>Felipe Lopez Dinardi</t>
        </is>
      </c>
      <c r="D2">
        <f>IF(A2="","",COUNTIF(Workers!B:B,A2))</f>
        <v/>
      </c>
    </row>
    <row r="3">
      <c r="A3" t="inlineStr">
        <is>
          <t>GeoEnviroTech, Inc</t>
        </is>
      </c>
      <c r="B3" t="inlineStr">
        <is>
          <t>Juan D. Negrón, PG</t>
        </is>
      </c>
      <c r="D3">
        <f>IF(A3="","",COUNTIF(Workers!B:B,A3))</f>
        <v/>
      </c>
    </row>
    <row r="4">
      <c r="A4" t="inlineStr">
        <is>
          <t>UltraPure Systems, Inc</t>
        </is>
      </c>
      <c r="B4" t="inlineStr">
        <is>
          <t>Samuel Portalatin Rodriguez Ta</t>
        </is>
      </c>
      <c r="D4">
        <f>IF(A4="","",COUNTIF(Workers!B:B,A4))</f>
        <v/>
      </c>
    </row>
    <row r="5">
      <c r="D5">
        <f>IF(A5="","",COUNTIF(Workers!B:B,A5))</f>
        <v/>
      </c>
    </row>
    <row r="6">
      <c r="D6">
        <f>IF(A6="","",COUNTIF(Workers!B:B,A6))</f>
        <v/>
      </c>
    </row>
    <row r="7">
      <c r="D7">
        <f>IF(A7="","",COUNTIF(Workers!B:B,A7))</f>
        <v/>
      </c>
    </row>
    <row r="8">
      <c r="D8">
        <f>IF(A8="","",COUNTIF(Workers!B:B,A8))</f>
        <v/>
      </c>
    </row>
    <row r="9">
      <c r="D9">
        <f>IF(A9="","",COUNTIF(Workers!B:B,A9))</f>
        <v/>
      </c>
    </row>
    <row r="10">
      <c r="D10">
        <f>IF(A10="","",COUNTIF(Workers!B:B,A10))</f>
        <v/>
      </c>
    </row>
    <row r="11">
      <c r="D11">
        <f>IF(A11="","",COUNTIF(Workers!B:B,A11))</f>
        <v/>
      </c>
    </row>
    <row r="12">
      <c r="D12">
        <f>IF(A12="","",COUNTIF(Workers!B:B,A12))</f>
        <v/>
      </c>
    </row>
    <row r="13">
      <c r="D13">
        <f>IF(A13="","",COUNTIF(Workers!B:B,A13))</f>
        <v/>
      </c>
    </row>
    <row r="14">
      <c r="D14">
        <f>IF(A14="","",COUNTIF(Workers!B:B,A14))</f>
        <v/>
      </c>
    </row>
    <row r="15">
      <c r="D15">
        <f>IF(A15="","",COUNTIF(Workers!B:B,A15))</f>
        <v/>
      </c>
    </row>
    <row r="16">
      <c r="D16">
        <f>IF(A16="","",COUNTIF(Workers!B:B,A16))</f>
        <v/>
      </c>
    </row>
    <row r="17">
      <c r="D17">
        <f>IF(A17="","",COUNTIF(Workers!B:B,A17))</f>
        <v/>
      </c>
    </row>
    <row r="18">
      <c r="D18">
        <f>IF(A18="","",COUNTIF(Workers!B:B,A18))</f>
        <v/>
      </c>
    </row>
    <row r="19">
      <c r="D19">
        <f>IF(A19="","",COUNTIF(Workers!B:B,A19))</f>
        <v/>
      </c>
    </row>
    <row r="20">
      <c r="D20">
        <f>IF(A20="","",COUNTIF(Workers!B:B,A20))</f>
        <v/>
      </c>
    </row>
    <row r="21">
      <c r="D21">
        <f>IF(A21="","",COUNTIF(Workers!B:B,A21))</f>
        <v/>
      </c>
    </row>
    <row r="22">
      <c r="D22">
        <f>IF(A22="","",COUNTIF(Workers!B:B,A22))</f>
        <v/>
      </c>
    </row>
    <row r="23">
      <c r="D23">
        <f>IF(A23="","",COUNTIF(Workers!B:B,A23))</f>
        <v/>
      </c>
    </row>
    <row r="24">
      <c r="D24">
        <f>IF(A24="","",COUNTIF(Workers!B:B,A24))</f>
        <v/>
      </c>
    </row>
    <row r="25">
      <c r="D25">
        <f>IF(A25="","",COUNTIF(Workers!B:B,A25))</f>
        <v/>
      </c>
    </row>
    <row r="26">
      <c r="D26">
        <f>IF(A26="","",COUNTIF(Workers!B:B,A26))</f>
        <v/>
      </c>
    </row>
    <row r="27">
      <c r="D27">
        <f>IF(A27="","",COUNTIF(Workers!B:B,A27))</f>
        <v/>
      </c>
    </row>
    <row r="28">
      <c r="D28">
        <f>IF(A28="","",COUNTIF(Workers!B:B,A28))</f>
        <v/>
      </c>
    </row>
    <row r="29">
      <c r="D29">
        <f>IF(A29="","",COUNTIF(Workers!B:B,A29))</f>
        <v/>
      </c>
    </row>
    <row r="30">
      <c r="D30">
        <f>IF(A30="","",COUNTIF(Workers!B:B,A30))</f>
        <v/>
      </c>
    </row>
    <row r="31">
      <c r="D31">
        <f>IF(A31="","",COUNTIF(Workers!B:B,A31))</f>
        <v/>
      </c>
    </row>
    <row r="32">
      <c r="D32">
        <f>IF(A32="","",COUNTIF(Workers!B:B,A32))</f>
        <v/>
      </c>
    </row>
    <row r="33">
      <c r="D33">
        <f>IF(A33="","",COUNTIF(Workers!B:B,A33))</f>
        <v/>
      </c>
    </row>
    <row r="34">
      <c r="D34">
        <f>IF(A34="","",COUNTIF(Workers!B:B,A34))</f>
        <v/>
      </c>
    </row>
    <row r="35">
      <c r="D35">
        <f>IF(A35="","",COUNTIF(Workers!B:B,A35))</f>
        <v/>
      </c>
    </row>
    <row r="36">
      <c r="D36">
        <f>IF(A36="","",COUNTIF(Workers!B:B,A36))</f>
        <v/>
      </c>
    </row>
    <row r="37">
      <c r="D37">
        <f>IF(A37="","",COUNTIF(Workers!B:B,A37))</f>
        <v/>
      </c>
    </row>
    <row r="38">
      <c r="D38">
        <f>IF(A38="","",COUNTIF(Workers!B:B,A38))</f>
        <v/>
      </c>
    </row>
    <row r="39">
      <c r="D39">
        <f>IF(A39="","",COUNTIF(Workers!B:B,A39))</f>
        <v/>
      </c>
    </row>
    <row r="40">
      <c r="D40">
        <f>IF(A40="","",COUNTIF(Workers!B:B,A40))</f>
        <v/>
      </c>
    </row>
    <row r="41">
      <c r="D41">
        <f>IF(A41="","",COUNTIF(Workers!B:B,A41))</f>
        <v/>
      </c>
    </row>
    <row r="42">
      <c r="D42">
        <f>IF(A42="","",COUNTIF(Workers!B:B,A42))</f>
        <v/>
      </c>
    </row>
    <row r="43">
      <c r="D43">
        <f>IF(A43="","",COUNTIF(Workers!B:B,A43))</f>
        <v/>
      </c>
    </row>
    <row r="44">
      <c r="D44">
        <f>IF(A44="","",COUNTIF(Workers!B:B,A44))</f>
        <v/>
      </c>
    </row>
    <row r="45">
      <c r="D45">
        <f>IF(A45="","",COUNTIF(Workers!B:B,A45))</f>
        <v/>
      </c>
    </row>
    <row r="46">
      <c r="D46">
        <f>IF(A46="","",COUNTIF(Workers!B:B,A46))</f>
        <v/>
      </c>
    </row>
    <row r="47">
      <c r="D47">
        <f>IF(A47="","",COUNTIF(Workers!B:B,A47))</f>
        <v/>
      </c>
    </row>
    <row r="48">
      <c r="D48">
        <f>IF(A48="","",COUNTIF(Workers!B:B,A48))</f>
        <v/>
      </c>
    </row>
    <row r="49">
      <c r="D49">
        <f>IF(A49="","",COUNTIF(Workers!B:B,A49))</f>
        <v/>
      </c>
    </row>
    <row r="50">
      <c r="D50">
        <f>IF(A50="","",COUNTIF(Workers!B:B,A50))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xSplit="2" ySplit="1" topLeftCell="C2" activePane="bottomRight" state="frozen"/>
      <selection pane="bottomRight" activeCell="E32" sqref="E32"/>
      <selection pane="bottomLeft" activeCell="A1" sqref="A1"/>
      <selection pane="topRight" activeCell="A1" sqref="A1"/>
    </sheetView>
  </sheetViews>
  <sheetFormatPr baseColWidth="8" defaultRowHeight="15"/>
  <cols>
    <col width="28" customWidth="1" style="15" min="1" max="1"/>
    <col width="32.5703125" bestFit="1" customWidth="1" style="15" min="2" max="2"/>
    <col width="22" customWidth="1" style="15" min="3" max="3"/>
    <col width="14" customWidth="1" style="15" min="4" max="4"/>
    <col width="16" customWidth="1" style="15" min="5" max="5"/>
    <col width="14" customWidth="1" style="15" min="6" max="6"/>
    <col width="28" customWidth="1" style="15" min="7" max="7"/>
    <col width="16" customWidth="1" style="15" min="8" max="8"/>
    <col width="30" customWidth="1" style="15" min="9" max="9"/>
  </cols>
  <sheetData>
    <row r="1">
      <c r="A1" s="7" t="inlineStr">
        <is>
          <t>Worker Name</t>
        </is>
      </c>
      <c r="B1" s="7" t="inlineStr">
        <is>
          <t>Contractor</t>
        </is>
      </c>
      <c r="C1" s="7" t="inlineStr">
        <is>
          <t>Job Title</t>
        </is>
      </c>
      <c r="D1" s="7" t="inlineStr">
        <is>
          <t>Status</t>
        </is>
      </c>
      <c r="E1" s="8" t="inlineStr">
        <is>
          <t>Employee Code</t>
        </is>
      </c>
      <c r="F1" s="7" t="inlineStr">
        <is>
          <t>Hire Date</t>
        </is>
      </c>
      <c r="G1" s="7" t="inlineStr">
        <is>
          <t>Email</t>
        </is>
      </c>
      <c r="H1" s="7" t="inlineStr">
        <is>
          <t>Phone</t>
        </is>
      </c>
      <c r="I1" s="7" t="inlineStr">
        <is>
          <t>Notes</t>
        </is>
      </c>
    </row>
    <row r="2">
      <c r="A2" t="inlineStr">
        <is>
          <t>Héctor M. Rodríguez Alicea</t>
        </is>
      </c>
      <c r="B2" t="inlineStr">
        <is>
          <t>Cornerstone Industrial Group, Corp</t>
        </is>
      </c>
      <c r="D2" t="inlineStr">
        <is>
          <t>active</t>
        </is>
      </c>
      <c r="F2" s="3" t="n"/>
    </row>
    <row r="3">
      <c r="A3" t="inlineStr">
        <is>
          <t>Francisco González Carmona</t>
        </is>
      </c>
      <c r="B3" t="inlineStr">
        <is>
          <t>Cornerstone Industrial Group, Corp</t>
        </is>
      </c>
      <c r="D3" t="inlineStr">
        <is>
          <t>active</t>
        </is>
      </c>
      <c r="F3" s="3" t="n"/>
    </row>
    <row r="4">
      <c r="A4" t="inlineStr">
        <is>
          <t>Steven Cruz Martínez</t>
        </is>
      </c>
      <c r="B4" t="inlineStr">
        <is>
          <t>Cornerstone Industrial Group, Corp</t>
        </is>
      </c>
      <c r="D4" t="inlineStr">
        <is>
          <t>active</t>
        </is>
      </c>
      <c r="F4" s="3" t="n"/>
    </row>
    <row r="5">
      <c r="A5" t="inlineStr">
        <is>
          <t>Rene J. Torres Blasini</t>
        </is>
      </c>
      <c r="B5" t="inlineStr">
        <is>
          <t>Cornerstone Industrial Group, Corp</t>
        </is>
      </c>
      <c r="D5" t="inlineStr">
        <is>
          <t>active</t>
        </is>
      </c>
      <c r="F5" s="3" t="n"/>
    </row>
    <row r="6">
      <c r="A6" t="inlineStr">
        <is>
          <t>Jorge L. Figueroa Torres</t>
        </is>
      </c>
      <c r="B6" t="inlineStr">
        <is>
          <t>Cornerstone Industrial Group, Corp</t>
        </is>
      </c>
      <c r="D6" t="inlineStr">
        <is>
          <t>active</t>
        </is>
      </c>
      <c r="F6" s="3" t="n"/>
    </row>
    <row r="7">
      <c r="A7" t="inlineStr">
        <is>
          <t>Giovani Torres</t>
        </is>
      </c>
      <c r="B7" t="inlineStr">
        <is>
          <t>Cornerstone Industrial Group, Corp</t>
        </is>
      </c>
      <c r="D7" t="inlineStr">
        <is>
          <t>active</t>
        </is>
      </c>
      <c r="F7" s="3" t="n"/>
    </row>
    <row r="8">
      <c r="A8" t="inlineStr">
        <is>
          <t>Santos Rivera Tirado</t>
        </is>
      </c>
      <c r="B8" t="inlineStr">
        <is>
          <t>Cornerstone Industrial Group, Corp</t>
        </is>
      </c>
      <c r="D8" t="inlineStr">
        <is>
          <t>active</t>
        </is>
      </c>
      <c r="F8" s="3" t="n"/>
    </row>
    <row r="9">
      <c r="A9" t="inlineStr">
        <is>
          <t>José J. Rincon</t>
        </is>
      </c>
      <c r="B9" t="inlineStr">
        <is>
          <t>Cornerstone Industrial Group, Corp</t>
        </is>
      </c>
      <c r="D9" t="inlineStr">
        <is>
          <t>active</t>
        </is>
      </c>
      <c r="F9" s="3" t="n"/>
    </row>
    <row r="10">
      <c r="A10" t="inlineStr">
        <is>
          <t>Carlos O. Luhring</t>
        </is>
      </c>
      <c r="B10" t="inlineStr">
        <is>
          <t>Cornerstone Industrial Group, Corp</t>
        </is>
      </c>
      <c r="D10" t="inlineStr">
        <is>
          <t>active</t>
        </is>
      </c>
      <c r="F10" s="3" t="n"/>
    </row>
    <row r="11">
      <c r="A11" t="inlineStr">
        <is>
          <t>Felipe Lopez Dinardi</t>
        </is>
      </c>
      <c r="B11" t="inlineStr">
        <is>
          <t>Cornerstone Industrial Group, Corp</t>
        </is>
      </c>
      <c r="D11" t="inlineStr">
        <is>
          <t>active</t>
        </is>
      </c>
      <c r="F11" s="3" t="n"/>
    </row>
    <row r="12">
      <c r="A12" t="inlineStr">
        <is>
          <t>William Rodriguez Rivera</t>
        </is>
      </c>
      <c r="B12" t="inlineStr">
        <is>
          <t>GeoEnviroTech, Inc</t>
        </is>
      </c>
      <c r="D12" t="inlineStr">
        <is>
          <t>active</t>
        </is>
      </c>
      <c r="F12" s="3" t="n"/>
    </row>
    <row r="13">
      <c r="A13" t="inlineStr">
        <is>
          <t>Hardy Rodríguez Vázquez</t>
        </is>
      </c>
      <c r="B13" t="inlineStr">
        <is>
          <t>GeoEnviroTech, Inc</t>
        </is>
      </c>
      <c r="D13" t="inlineStr">
        <is>
          <t>active</t>
        </is>
      </c>
      <c r="F13" s="3" t="n"/>
    </row>
    <row r="14">
      <c r="A14" t="inlineStr">
        <is>
          <t>Juan D. Negrón Hernández</t>
        </is>
      </c>
      <c r="B14" t="inlineStr">
        <is>
          <t>GeoEnviroTech, Inc</t>
        </is>
      </c>
      <c r="D14" t="inlineStr">
        <is>
          <t>active</t>
        </is>
      </c>
      <c r="F14" s="3" t="n"/>
    </row>
    <row r="15">
      <c r="A15" t="inlineStr">
        <is>
          <t>Rafael Díaz Colón</t>
        </is>
      </c>
      <c r="B15" t="inlineStr">
        <is>
          <t>GeoEnviroTech, Inc</t>
        </is>
      </c>
      <c r="D15" t="inlineStr">
        <is>
          <t>active</t>
        </is>
      </c>
      <c r="F15" s="3" t="n"/>
    </row>
    <row r="16">
      <c r="A16" t="inlineStr">
        <is>
          <t>Luis A. Padilla Díaz</t>
        </is>
      </c>
      <c r="B16" t="inlineStr">
        <is>
          <t>GeoEnviroTech, Inc</t>
        </is>
      </c>
      <c r="D16" t="inlineStr">
        <is>
          <t>active</t>
        </is>
      </c>
      <c r="F16" s="3" t="n"/>
    </row>
    <row r="17">
      <c r="A17" t="inlineStr">
        <is>
          <t>Jesús Quiñonez Ayala</t>
        </is>
      </c>
      <c r="B17" t="inlineStr">
        <is>
          <t>GeoEnviroTech, Inc</t>
        </is>
      </c>
      <c r="D17" t="inlineStr">
        <is>
          <t>active</t>
        </is>
      </c>
      <c r="F17" s="3" t="n"/>
    </row>
    <row r="18">
      <c r="A18" t="inlineStr">
        <is>
          <t>Carlos Luhring</t>
        </is>
      </c>
      <c r="B18" t="inlineStr">
        <is>
          <t>Cornerstone Industrial Group, Corp</t>
        </is>
      </c>
      <c r="D18" t="inlineStr">
        <is>
          <t>active</t>
        </is>
      </c>
      <c r="F18" s="3" t="n"/>
    </row>
    <row r="19">
      <c r="A19" t="inlineStr">
        <is>
          <t>Joshua Bonilla</t>
        </is>
      </c>
      <c r="B19" t="inlineStr">
        <is>
          <t>Cornerstone Industrial Group, Corp</t>
        </is>
      </c>
      <c r="D19" t="inlineStr">
        <is>
          <t>active</t>
        </is>
      </c>
      <c r="F19" s="3" t="n"/>
    </row>
    <row r="20">
      <c r="A20" t="inlineStr">
        <is>
          <t>Pedro Bonilla</t>
        </is>
      </c>
      <c r="B20" t="inlineStr">
        <is>
          <t>Cornerstone Industrial Group, Corp</t>
        </is>
      </c>
      <c r="D20" t="inlineStr">
        <is>
          <t>active</t>
        </is>
      </c>
      <c r="F20" s="3" t="n"/>
    </row>
    <row r="21">
      <c r="A21" t="inlineStr">
        <is>
          <t>Máximo López</t>
        </is>
      </c>
      <c r="B21" t="inlineStr">
        <is>
          <t>Cornerstone Industrial Group, Corp</t>
        </is>
      </c>
      <c r="D21" t="inlineStr">
        <is>
          <t>active</t>
        </is>
      </c>
      <c r="F21" s="3" t="n"/>
    </row>
    <row r="22">
      <c r="A22" t="inlineStr">
        <is>
          <t>Omar Rodríguez</t>
        </is>
      </c>
      <c r="B22" t="inlineStr">
        <is>
          <t>Cornerstone Industrial Group, Corp</t>
        </is>
      </c>
      <c r="D22" t="inlineStr">
        <is>
          <t>active</t>
        </is>
      </c>
      <c r="F22" s="3" t="n"/>
    </row>
    <row r="23">
      <c r="A23" t="inlineStr">
        <is>
          <t>Ángel Martínez</t>
        </is>
      </c>
      <c r="B23" t="inlineStr">
        <is>
          <t>Cornerstone Industrial Group, Corp</t>
        </is>
      </c>
      <c r="D23" t="inlineStr">
        <is>
          <t>active</t>
        </is>
      </c>
      <c r="F23" s="3" t="n"/>
    </row>
    <row r="24">
      <c r="A24" t="inlineStr">
        <is>
          <t>Erick Mar Rodríguez</t>
        </is>
      </c>
      <c r="B24" t="inlineStr">
        <is>
          <t>Cornerstone Industrial Group, Corp</t>
        </is>
      </c>
      <c r="D24" t="inlineStr">
        <is>
          <t>active</t>
        </is>
      </c>
      <c r="F24" s="3" t="n"/>
    </row>
    <row r="25">
      <c r="A25" t="inlineStr">
        <is>
          <t>Erick S. Rodríguez</t>
        </is>
      </c>
      <c r="B25" t="inlineStr">
        <is>
          <t>Cornerstone Industrial Group, Corp</t>
        </is>
      </c>
      <c r="D25" t="inlineStr">
        <is>
          <t>active</t>
        </is>
      </c>
      <c r="F25" s="3" t="n"/>
    </row>
    <row r="26">
      <c r="A26" t="inlineStr">
        <is>
          <t>Angel Maldonado</t>
        </is>
      </c>
      <c r="B26" t="inlineStr">
        <is>
          <t>UltraPure Systems, Inc</t>
        </is>
      </c>
      <c r="D26" t="inlineStr">
        <is>
          <t>active</t>
        </is>
      </c>
      <c r="F26" s="3" t="n"/>
    </row>
    <row r="27">
      <c r="A27" t="inlineStr">
        <is>
          <t>Juan Ramos</t>
        </is>
      </c>
      <c r="B27" t="inlineStr">
        <is>
          <t>UltraPure Systems, Inc</t>
        </is>
      </c>
      <c r="D27" t="inlineStr">
        <is>
          <t>active</t>
        </is>
      </c>
      <c r="F27" s="3" t="n"/>
    </row>
    <row r="28">
      <c r="A28" t="inlineStr">
        <is>
          <t>Luis G. Rodriguez</t>
        </is>
      </c>
      <c r="B28" t="inlineStr">
        <is>
          <t>UltraPure Systems, Inc</t>
        </is>
      </c>
      <c r="D28" t="inlineStr">
        <is>
          <t>active</t>
        </is>
      </c>
      <c r="F28" s="3" t="n"/>
    </row>
    <row r="29">
      <c r="A29" t="inlineStr">
        <is>
          <t>Jose H. Vega</t>
        </is>
      </c>
      <c r="B29" t="inlineStr">
        <is>
          <t>UltraPure Systems, Inc</t>
        </is>
      </c>
      <c r="D29" t="inlineStr">
        <is>
          <t>active</t>
        </is>
      </c>
      <c r="F29" s="3" t="n"/>
    </row>
    <row r="30">
      <c r="A30" t="inlineStr">
        <is>
          <t>Julio Cordero</t>
        </is>
      </c>
      <c r="B30" t="inlineStr">
        <is>
          <t>UltraPure Systems, Inc</t>
        </is>
      </c>
      <c r="D30" t="inlineStr">
        <is>
          <t>active</t>
        </is>
      </c>
      <c r="F30" s="3" t="n"/>
    </row>
    <row r="31">
      <c r="A31" t="inlineStr">
        <is>
          <t>Yahil Ruiz</t>
        </is>
      </c>
      <c r="B31" t="inlineStr">
        <is>
          <t>UltraPure Systems, Inc</t>
        </is>
      </c>
      <c r="D31" t="inlineStr">
        <is>
          <t>active</t>
        </is>
      </c>
      <c r="F31" s="3" t="n"/>
    </row>
    <row r="32">
      <c r="A32" t="inlineStr">
        <is>
          <t>Sergio D. Rivera</t>
        </is>
      </c>
      <c r="B32" t="inlineStr">
        <is>
          <t>UltraPure Systems, Inc</t>
        </is>
      </c>
      <c r="D32" t="inlineStr">
        <is>
          <t>active</t>
        </is>
      </c>
      <c r="F32" s="3" t="n"/>
    </row>
    <row r="33">
      <c r="A33" t="inlineStr">
        <is>
          <t>Carlos Marichal</t>
        </is>
      </c>
      <c r="B33" t="inlineStr">
        <is>
          <t>UltraPure Systems, Inc</t>
        </is>
      </c>
      <c r="D33" t="inlineStr">
        <is>
          <t>active</t>
        </is>
      </c>
      <c r="F33" s="3" t="n"/>
    </row>
    <row r="34">
      <c r="A34" t="inlineStr">
        <is>
          <t>Carlos R. Reyes</t>
        </is>
      </c>
      <c r="B34" t="inlineStr">
        <is>
          <t>UltraPure Systems, Inc</t>
        </is>
      </c>
      <c r="D34" t="inlineStr">
        <is>
          <t>active</t>
        </is>
      </c>
      <c r="F34" s="3" t="n"/>
    </row>
    <row r="35">
      <c r="A35" t="inlineStr">
        <is>
          <t>Ricardo E. Marichal</t>
        </is>
      </c>
      <c r="B35" t="inlineStr">
        <is>
          <t>UltraPure Systems, Inc</t>
        </is>
      </c>
      <c r="D35" t="inlineStr">
        <is>
          <t>active</t>
        </is>
      </c>
      <c r="F35" s="3" t="n"/>
    </row>
    <row r="36">
      <c r="A36" t="inlineStr">
        <is>
          <t>Bradley Reillo</t>
        </is>
      </c>
      <c r="B36" t="inlineStr">
        <is>
          <t>UltraPure Systems, Inc</t>
        </is>
      </c>
      <c r="D36" t="inlineStr">
        <is>
          <t>active</t>
        </is>
      </c>
      <c r="F36" s="3" t="n"/>
    </row>
    <row r="37">
      <c r="A37" t="inlineStr">
        <is>
          <t>Luis Carrion</t>
        </is>
      </c>
      <c r="B37" t="inlineStr">
        <is>
          <t>UltraPure Systems, Inc</t>
        </is>
      </c>
      <c r="D37" t="inlineStr">
        <is>
          <t>active</t>
        </is>
      </c>
      <c r="F37" s="3" t="n"/>
    </row>
    <row r="38">
      <c r="A38" t="inlineStr">
        <is>
          <t>Luis A. Rosado</t>
        </is>
      </c>
      <c r="B38" t="inlineStr">
        <is>
          <t>UltraPure Systems, Inc</t>
        </is>
      </c>
      <c r="D38" t="inlineStr">
        <is>
          <t>active</t>
        </is>
      </c>
      <c r="F38" s="3" t="n"/>
    </row>
    <row r="39">
      <c r="A39" t="inlineStr">
        <is>
          <t>Luis A. Rosado Collazo</t>
        </is>
      </c>
      <c r="B39" t="inlineStr">
        <is>
          <t>UltraPure Systems, Inc</t>
        </is>
      </c>
      <c r="D39" t="inlineStr">
        <is>
          <t>active</t>
        </is>
      </c>
      <c r="F39" s="3" t="n"/>
    </row>
    <row r="40">
      <c r="A40" t="inlineStr">
        <is>
          <t>Rafael Delgado</t>
        </is>
      </c>
      <c r="B40" t="inlineStr">
        <is>
          <t>UltraPure Systems, Inc</t>
        </is>
      </c>
      <c r="D40" t="inlineStr">
        <is>
          <t>active</t>
        </is>
      </c>
      <c r="F40" s="3" t="n"/>
    </row>
    <row r="41">
      <c r="A41" t="inlineStr">
        <is>
          <t>Juan D. Hernandez</t>
        </is>
      </c>
      <c r="B41" t="inlineStr">
        <is>
          <t>UltraPure Systems, Inc</t>
        </is>
      </c>
      <c r="D41" t="inlineStr">
        <is>
          <t>active</t>
        </is>
      </c>
      <c r="F41" s="3" t="n"/>
    </row>
    <row r="42">
      <c r="A42" t="inlineStr">
        <is>
          <t>David E. Alvarado</t>
        </is>
      </c>
      <c r="B42" t="inlineStr">
        <is>
          <t>UltraPure Systems, Inc</t>
        </is>
      </c>
      <c r="D42" t="inlineStr">
        <is>
          <t>active</t>
        </is>
      </c>
      <c r="F42" s="3" t="n"/>
    </row>
    <row r="43">
      <c r="A43" t="inlineStr">
        <is>
          <t>Raymond Lopez</t>
        </is>
      </c>
      <c r="B43" t="inlineStr">
        <is>
          <t>UltraPure Systems, Inc</t>
        </is>
      </c>
      <c r="D43" t="inlineStr">
        <is>
          <t>active</t>
        </is>
      </c>
      <c r="F43" s="3" t="n"/>
    </row>
    <row r="44">
      <c r="A44" t="inlineStr">
        <is>
          <t>Gabriel Alvelo</t>
        </is>
      </c>
      <c r="B44" t="inlineStr">
        <is>
          <t>UltraPure Systems, Inc</t>
        </is>
      </c>
      <c r="D44" t="inlineStr">
        <is>
          <t>active</t>
        </is>
      </c>
      <c r="F44" s="3" t="n"/>
    </row>
    <row r="45">
      <c r="A45" t="inlineStr">
        <is>
          <t>Yassiel Y. Ortiz</t>
        </is>
      </c>
      <c r="B45" t="inlineStr">
        <is>
          <t>UltraPure Systems, Inc</t>
        </is>
      </c>
      <c r="D45" t="inlineStr">
        <is>
          <t>active</t>
        </is>
      </c>
      <c r="F45" s="3" t="n"/>
    </row>
    <row r="46">
      <c r="A46" t="inlineStr">
        <is>
          <t>Jose Rosario</t>
        </is>
      </c>
      <c r="B46" t="inlineStr">
        <is>
          <t>UltraPure Systems, Inc</t>
        </is>
      </c>
      <c r="D46" t="inlineStr">
        <is>
          <t>active</t>
        </is>
      </c>
      <c r="F46" s="3" t="n"/>
    </row>
    <row r="47">
      <c r="A47" t="inlineStr">
        <is>
          <t>Calix Gaetan</t>
        </is>
      </c>
      <c r="B47" t="inlineStr">
        <is>
          <t>UltraPure Systems, Inc</t>
        </is>
      </c>
      <c r="D47" t="inlineStr">
        <is>
          <t>active</t>
        </is>
      </c>
      <c r="F47" s="3" t="n"/>
    </row>
    <row r="48">
      <c r="F48" s="3" t="n"/>
    </row>
    <row r="49">
      <c r="F49" s="3" t="n"/>
    </row>
    <row r="50">
      <c r="F50" s="3" t="n"/>
    </row>
    <row r="51">
      <c r="F51" s="3" t="n"/>
    </row>
    <row r="52">
      <c r="F52" s="3" t="n"/>
    </row>
    <row r="53">
      <c r="F53" s="3" t="n"/>
    </row>
    <row r="54">
      <c r="F54" s="3" t="n"/>
    </row>
    <row r="55">
      <c r="F55" s="3" t="n"/>
    </row>
    <row r="56">
      <c r="F56" s="3" t="n"/>
    </row>
    <row r="57">
      <c r="F57" s="3" t="n"/>
    </row>
    <row r="58">
      <c r="F58" s="3" t="n"/>
    </row>
    <row r="59">
      <c r="F59" s="3" t="n"/>
    </row>
    <row r="60">
      <c r="F60" s="3" t="n"/>
    </row>
    <row r="61">
      <c r="F61" s="3" t="n"/>
    </row>
    <row r="62">
      <c r="F62" s="3" t="n"/>
    </row>
    <row r="63">
      <c r="F63" s="3" t="n"/>
    </row>
    <row r="64">
      <c r="F64" s="3" t="n"/>
    </row>
    <row r="65">
      <c r="F65" s="3" t="n"/>
    </row>
    <row r="66">
      <c r="F66" s="3" t="n"/>
    </row>
    <row r="67">
      <c r="F67" s="3" t="n"/>
    </row>
    <row r="68">
      <c r="F68" s="3" t="n"/>
    </row>
    <row r="69">
      <c r="F69" s="3" t="n"/>
    </row>
    <row r="70">
      <c r="F70" s="3" t="n"/>
    </row>
    <row r="71">
      <c r="F71" s="3" t="n"/>
    </row>
    <row r="72">
      <c r="F72" s="3" t="n"/>
    </row>
    <row r="73">
      <c r="F73" s="3" t="n"/>
    </row>
    <row r="74">
      <c r="F74" s="3" t="n"/>
    </row>
    <row r="75">
      <c r="F75" s="3" t="n"/>
    </row>
    <row r="76">
      <c r="F76" s="3" t="n"/>
    </row>
    <row r="77">
      <c r="F77" s="3" t="n"/>
    </row>
    <row r="78">
      <c r="F78" s="3" t="n"/>
    </row>
    <row r="79">
      <c r="F79" s="3" t="n"/>
    </row>
    <row r="80">
      <c r="F80" s="3" t="n"/>
    </row>
    <row r="81">
      <c r="F81" s="3" t="n"/>
    </row>
    <row r="82">
      <c r="F82" s="3" t="n"/>
    </row>
    <row r="83">
      <c r="F83" s="3" t="n"/>
    </row>
    <row r="84">
      <c r="F84" s="3" t="n"/>
    </row>
    <row r="85">
      <c r="F85" s="3" t="n"/>
    </row>
    <row r="86">
      <c r="F86" s="3" t="n"/>
    </row>
    <row r="87">
      <c r="F87" s="3" t="n"/>
    </row>
    <row r="88">
      <c r="F88" s="3" t="n"/>
    </row>
    <row r="89">
      <c r="F89" s="3" t="n"/>
    </row>
    <row r="90">
      <c r="F90" s="3" t="n"/>
    </row>
    <row r="91">
      <c r="F91" s="3" t="n"/>
    </row>
    <row r="92">
      <c r="F92" s="3" t="n"/>
    </row>
    <row r="93">
      <c r="F93" s="3" t="n"/>
    </row>
    <row r="94">
      <c r="F94" s="3" t="n"/>
    </row>
    <row r="95">
      <c r="F95" s="3" t="n"/>
    </row>
    <row r="96">
      <c r="F96" s="3" t="n"/>
    </row>
    <row r="97">
      <c r="F97" s="3" t="n"/>
    </row>
    <row r="98">
      <c r="F98" s="3" t="n"/>
    </row>
    <row r="99">
      <c r="F99" s="3" t="n"/>
    </row>
    <row r="100">
      <c r="F100" s="3" t="n"/>
    </row>
    <row r="101">
      <c r="F101" s="3" t="n"/>
    </row>
    <row r="102">
      <c r="F102" s="3" t="n"/>
    </row>
    <row r="103">
      <c r="F103" s="3" t="n"/>
    </row>
    <row r="104">
      <c r="F104" s="3" t="n"/>
    </row>
    <row r="105">
      <c r="F105" s="3" t="n"/>
    </row>
    <row r="106">
      <c r="F106" s="3" t="n"/>
    </row>
    <row r="107">
      <c r="F107" s="3" t="n"/>
    </row>
    <row r="108">
      <c r="F108" s="3" t="n"/>
    </row>
    <row r="109">
      <c r="F109" s="3" t="n"/>
    </row>
    <row r="110">
      <c r="F110" s="3" t="n"/>
    </row>
    <row r="111">
      <c r="F111" s="3" t="n"/>
    </row>
    <row r="112">
      <c r="F112" s="3" t="n"/>
    </row>
    <row r="113">
      <c r="F113" s="3" t="n"/>
    </row>
    <row r="114">
      <c r="F114" s="3" t="n"/>
    </row>
    <row r="115">
      <c r="F115" s="3" t="n"/>
    </row>
    <row r="116">
      <c r="F116" s="3" t="n"/>
    </row>
    <row r="117">
      <c r="F117" s="3" t="n"/>
    </row>
    <row r="118">
      <c r="F118" s="3" t="n"/>
    </row>
    <row r="119">
      <c r="F119" s="3" t="n"/>
    </row>
    <row r="120">
      <c r="F120" s="3" t="n"/>
    </row>
    <row r="121">
      <c r="F121" s="3" t="n"/>
    </row>
    <row r="122">
      <c r="F122" s="3" t="n"/>
    </row>
    <row r="123">
      <c r="F123" s="3" t="n"/>
    </row>
    <row r="124">
      <c r="F124" s="3" t="n"/>
    </row>
    <row r="125">
      <c r="F125" s="3" t="n"/>
    </row>
    <row r="126">
      <c r="F126" s="3" t="n"/>
    </row>
    <row r="127">
      <c r="F127" s="3" t="n"/>
    </row>
    <row r="128">
      <c r="F128" s="3" t="n"/>
    </row>
    <row r="129">
      <c r="F129" s="3" t="n"/>
    </row>
    <row r="130">
      <c r="F130" s="3" t="n"/>
    </row>
    <row r="131">
      <c r="F131" s="3" t="n"/>
    </row>
    <row r="132">
      <c r="F132" s="3" t="n"/>
    </row>
    <row r="133">
      <c r="F133" s="3" t="n"/>
    </row>
    <row r="134">
      <c r="F134" s="3" t="n"/>
    </row>
    <row r="135">
      <c r="F135" s="3" t="n"/>
    </row>
    <row r="136">
      <c r="F136" s="3" t="n"/>
    </row>
    <row r="137">
      <c r="F137" s="3" t="n"/>
    </row>
    <row r="138">
      <c r="F138" s="3" t="n"/>
    </row>
    <row r="139">
      <c r="F139" s="3" t="n"/>
    </row>
    <row r="140">
      <c r="F140" s="3" t="n"/>
    </row>
    <row r="141">
      <c r="F141" s="3" t="n"/>
    </row>
    <row r="142">
      <c r="F142" s="3" t="n"/>
    </row>
    <row r="143">
      <c r="F143" s="3" t="n"/>
    </row>
    <row r="144">
      <c r="F144" s="3" t="n"/>
    </row>
    <row r="145">
      <c r="F145" s="3" t="n"/>
    </row>
    <row r="146">
      <c r="F146" s="3" t="n"/>
    </row>
    <row r="147">
      <c r="F147" s="3" t="n"/>
    </row>
    <row r="148">
      <c r="F148" s="3" t="n"/>
    </row>
    <row r="149">
      <c r="F149" s="3" t="n"/>
    </row>
    <row r="150">
      <c r="F150" s="3" t="n"/>
    </row>
    <row r="151">
      <c r="F151" s="3" t="n"/>
    </row>
    <row r="152">
      <c r="F152" s="3" t="n"/>
    </row>
    <row r="153">
      <c r="F153" s="3" t="n"/>
    </row>
    <row r="154">
      <c r="F154" s="3" t="n"/>
    </row>
    <row r="155">
      <c r="F155" s="3" t="n"/>
    </row>
    <row r="156">
      <c r="F156" s="3" t="n"/>
    </row>
    <row r="157">
      <c r="F157" s="3" t="n"/>
    </row>
    <row r="158">
      <c r="F158" s="3" t="n"/>
    </row>
    <row r="159">
      <c r="F159" s="3" t="n"/>
    </row>
    <row r="160">
      <c r="F160" s="3" t="n"/>
    </row>
    <row r="161">
      <c r="F161" s="3" t="n"/>
    </row>
    <row r="162">
      <c r="F162" s="3" t="n"/>
    </row>
    <row r="163">
      <c r="F163" s="3" t="n"/>
    </row>
    <row r="164">
      <c r="F164" s="3" t="n"/>
    </row>
    <row r="165">
      <c r="F165" s="3" t="n"/>
    </row>
    <row r="166">
      <c r="F166" s="3" t="n"/>
    </row>
    <row r="167">
      <c r="F167" s="3" t="n"/>
    </row>
    <row r="168">
      <c r="F168" s="3" t="n"/>
    </row>
    <row r="169">
      <c r="F169" s="3" t="n"/>
    </row>
    <row r="170">
      <c r="F170" s="3" t="n"/>
    </row>
    <row r="171">
      <c r="F171" s="3" t="n"/>
    </row>
    <row r="172">
      <c r="F172" s="3" t="n"/>
    </row>
    <row r="173">
      <c r="F173" s="3" t="n"/>
    </row>
    <row r="174">
      <c r="F174" s="3" t="n"/>
    </row>
    <row r="175">
      <c r="F175" s="3" t="n"/>
    </row>
    <row r="176">
      <c r="F176" s="3" t="n"/>
    </row>
    <row r="177">
      <c r="F177" s="3" t="n"/>
    </row>
    <row r="178">
      <c r="F178" s="3" t="n"/>
    </row>
    <row r="179">
      <c r="F179" s="3" t="n"/>
    </row>
    <row r="180">
      <c r="F180" s="3" t="n"/>
    </row>
    <row r="181">
      <c r="F181" s="3" t="n"/>
    </row>
    <row r="182">
      <c r="F182" s="3" t="n"/>
    </row>
    <row r="183">
      <c r="F183" s="3" t="n"/>
    </row>
    <row r="184">
      <c r="F184" s="3" t="n"/>
    </row>
    <row r="185">
      <c r="F185" s="3" t="n"/>
    </row>
    <row r="186">
      <c r="F186" s="3" t="n"/>
    </row>
    <row r="187">
      <c r="F187" s="3" t="n"/>
    </row>
    <row r="188">
      <c r="F188" s="3" t="n"/>
    </row>
    <row r="189">
      <c r="F189" s="3" t="n"/>
    </row>
    <row r="190">
      <c r="F190" s="3" t="n"/>
    </row>
    <row r="191">
      <c r="F191" s="3" t="n"/>
    </row>
    <row r="192">
      <c r="F192" s="3" t="n"/>
    </row>
    <row r="193">
      <c r="F193" s="3" t="n"/>
    </row>
    <row r="194">
      <c r="F194" s="3" t="n"/>
    </row>
    <row r="195">
      <c r="F195" s="3" t="n"/>
    </row>
    <row r="196">
      <c r="F196" s="3" t="n"/>
    </row>
    <row r="197">
      <c r="F197" s="3" t="n"/>
    </row>
    <row r="198">
      <c r="F198" s="3" t="n"/>
    </row>
    <row r="199">
      <c r="F199" s="3" t="n"/>
    </row>
    <row r="200">
      <c r="F200" s="3" t="n"/>
    </row>
  </sheetData>
  <dataValidations count="3">
    <dataValidation sqref="C2:C200" showDropDown="0" showInputMessage="0" showErrorMessage="0" allowBlank="1" type="list">
      <formula1>JobTitleOptions</formula1>
    </dataValidation>
    <dataValidation sqref="D1:D1048576" showDropDown="0" showInputMessage="0" showErrorMessage="0" allowBlank="1" type="list">
      <formula1>"active,inactive,onboarding,terminated"</formula1>
    </dataValidation>
    <dataValidation sqref="B1:B1048576" showDropDown="0" showInputMessage="1" showErrorMessage="1" allowBlank="1" type="list">
      <formula1>ContractorOption</formula1>
    </dataValidation>
  </dataValidations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00"/>
  <sheetViews>
    <sheetView showGridLines="0" tabSelected="1" zoomScaleNormal="100" workbookViewId="0">
      <pane xSplit="2" ySplit="2" topLeftCell="V29" activePane="bottomRight" state="frozen"/>
      <selection pane="bottomRight" activeCell="A27" sqref="A27:AF48"/>
      <selection pane="bottomLeft" activeCell="A1" sqref="A1"/>
      <selection pane="topRight" activeCell="A1" sqref="A1"/>
    </sheetView>
  </sheetViews>
  <sheetFormatPr baseColWidth="8" defaultRowHeight="15"/>
  <cols>
    <col width="32.5703125" bestFit="1" customWidth="1" style="15" min="1" max="1"/>
    <col width="26.42578125" bestFit="1" customWidth="1" style="15" min="2" max="2"/>
    <col width="14" customWidth="1" style="15" min="3" max="5"/>
    <col width="15.85546875" bestFit="1" customWidth="1" style="15" min="6" max="6"/>
    <col width="14" customWidth="1" style="15" min="7" max="19"/>
    <col width="13" customWidth="1" style="15" min="20" max="32"/>
  </cols>
  <sheetData>
    <row r="1">
      <c r="A1" s="4" t="n"/>
      <c r="B1" s="4" t="n"/>
      <c r="C1" s="11" t="inlineStr">
        <is>
          <t>HSE Required Certifications</t>
        </is>
      </c>
      <c r="P1" s="11" t="inlineStr">
        <is>
          <t>Additional Training</t>
        </is>
      </c>
    </row>
    <row r="2" ht="60" customHeight="1" s="15">
      <c r="A2" s="7" t="inlineStr">
        <is>
          <t>Contractor</t>
        </is>
      </c>
      <c r="B2" s="7" t="inlineStr">
        <is>
          <t>Worker</t>
        </is>
      </c>
      <c r="C2" s="7">
        <f>Certifications!A2</f>
        <v/>
      </c>
      <c r="D2" s="7">
        <f>Certifications!A3</f>
        <v/>
      </c>
      <c r="E2" s="7">
        <f>Certifications!A4</f>
        <v/>
      </c>
      <c r="F2" s="7">
        <f>Certifications!A5</f>
        <v/>
      </c>
      <c r="G2" s="7">
        <f>Certifications!A6</f>
        <v/>
      </c>
      <c r="H2" s="7">
        <f>Certifications!A7</f>
        <v/>
      </c>
      <c r="I2" s="7">
        <f>Certifications!A8</f>
        <v/>
      </c>
      <c r="J2" s="7">
        <f>Certifications!A9</f>
        <v/>
      </c>
      <c r="K2" s="7">
        <f>Certifications!A10</f>
        <v/>
      </c>
      <c r="L2" s="7">
        <f>Certifications!A11</f>
        <v/>
      </c>
      <c r="M2" s="7">
        <f>Certifications!A12</f>
        <v/>
      </c>
      <c r="N2" s="7">
        <f>Certifications!A13</f>
        <v/>
      </c>
      <c r="O2" s="7">
        <f>Certifications!A14</f>
        <v/>
      </c>
      <c r="P2" s="7">
        <f>Certifications!A15</f>
        <v/>
      </c>
      <c r="Q2" s="7">
        <f>Certifications!A16</f>
        <v/>
      </c>
      <c r="R2" s="7">
        <f>Certifications!A17</f>
        <v/>
      </c>
      <c r="S2" s="7">
        <f>Certifications!A18</f>
        <v/>
      </c>
      <c r="T2" s="7">
        <f>Certifications!A19</f>
        <v/>
      </c>
      <c r="U2" s="7">
        <f>Certifications!A20</f>
        <v/>
      </c>
      <c r="V2" s="7">
        <f>Certifications!A21</f>
        <v/>
      </c>
      <c r="W2" s="7">
        <f>Certifications!A22</f>
        <v/>
      </c>
      <c r="X2" s="7">
        <f>Certifications!A23</f>
        <v/>
      </c>
      <c r="Y2" s="7">
        <f>Certifications!A24</f>
        <v/>
      </c>
      <c r="Z2" s="7">
        <f>Certifications!A25</f>
        <v/>
      </c>
      <c r="AA2" s="7">
        <f>Certifications!A26</f>
        <v/>
      </c>
      <c r="AB2" s="7">
        <f>Certifications!A27</f>
        <v/>
      </c>
      <c r="AC2" s="7">
        <f>Certifications!A28</f>
        <v/>
      </c>
      <c r="AD2" s="7">
        <f>Certifications!A29</f>
        <v/>
      </c>
      <c r="AE2" s="7">
        <f>Certifications!A30</f>
        <v/>
      </c>
      <c r="AF2" s="7">
        <f>Certifications!A31</f>
        <v/>
      </c>
    </row>
    <row r="3" ht="14.25" customHeight="1" s="15">
      <c r="A3" t="inlineStr">
        <is>
          <t>Cornerstone Industrial Group, Corp</t>
        </is>
      </c>
      <c r="B3" t="inlineStr">
        <is>
          <t>Francisco González Carmona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>
        <v>46136</v>
      </c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>
        <v>45085</v>
      </c>
      <c r="AC3" s="9" t="n">
        <v>44966</v>
      </c>
      <c r="AD3" s="9" t="n"/>
      <c r="AE3" s="9" t="n"/>
      <c r="AF3" s="9" t="n"/>
    </row>
    <row r="4">
      <c r="A4" t="inlineStr">
        <is>
          <t>Cornerstone Industrial Group, Corp</t>
        </is>
      </c>
      <c r="B4" t="inlineStr">
        <is>
          <t>Steven Cruz Martínez</t>
        </is>
      </c>
      <c r="C4" s="9" t="n"/>
      <c r="D4" s="9" t="n"/>
      <c r="E4" s="9" t="n"/>
      <c r="F4" s="9" t="n">
        <v>46059</v>
      </c>
      <c r="G4" s="9" t="n"/>
      <c r="H4" s="9" t="n">
        <v>46059</v>
      </c>
      <c r="I4" s="9" t="n"/>
      <c r="J4" s="9" t="n"/>
      <c r="K4" s="9" t="n">
        <v>46059</v>
      </c>
      <c r="L4" s="9" t="n"/>
      <c r="M4" s="9" t="n"/>
      <c r="N4" s="9" t="n"/>
      <c r="O4" s="9" t="n"/>
      <c r="P4" s="9" t="n">
        <v>46136</v>
      </c>
      <c r="Q4" s="9" t="n"/>
      <c r="R4" s="9" t="n"/>
      <c r="S4" s="9" t="n"/>
      <c r="T4" s="9" t="n"/>
      <c r="U4" s="9" t="n">
        <v>46341</v>
      </c>
      <c r="V4" s="9" t="n"/>
      <c r="W4" s="9" t="n"/>
      <c r="X4" s="9" t="n"/>
      <c r="Y4" s="9" t="n"/>
      <c r="Z4" s="9" t="n"/>
      <c r="AA4" s="9" t="n">
        <v>46059</v>
      </c>
      <c r="AB4" s="9" t="n"/>
      <c r="AC4" s="9" t="n"/>
      <c r="AD4" s="9" t="n"/>
      <c r="AE4" s="9" t="n"/>
      <c r="AF4" s="9" t="n"/>
    </row>
    <row r="5">
      <c r="A5" t="inlineStr">
        <is>
          <t>Cornerstone Industrial Group, Corp</t>
        </is>
      </c>
      <c r="B5" t="inlineStr">
        <is>
          <t>Héctor M. Rodríguez Alicea</t>
        </is>
      </c>
      <c r="C5" s="9" t="n">
        <v>46091</v>
      </c>
      <c r="D5" s="9" t="n"/>
      <c r="E5" s="9" t="n">
        <v>46091</v>
      </c>
      <c r="F5" s="9" t="n"/>
      <c r="G5" s="9" t="n">
        <v>46091</v>
      </c>
      <c r="H5" s="9" t="n"/>
      <c r="I5" s="9" t="n"/>
      <c r="J5" s="9" t="n"/>
      <c r="K5" s="9" t="n"/>
      <c r="L5" s="9" t="n">
        <v>46091</v>
      </c>
      <c r="M5" s="9" t="n"/>
      <c r="N5" s="9" t="n"/>
      <c r="O5" s="9" t="n">
        <v>46091</v>
      </c>
      <c r="P5" s="9" t="n">
        <v>46100</v>
      </c>
      <c r="Q5" s="9" t="n"/>
      <c r="R5" s="9" t="n"/>
      <c r="S5" s="9" t="n"/>
      <c r="T5" s="9" t="n"/>
      <c r="U5" s="9" t="n">
        <v>46091</v>
      </c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</row>
    <row r="6">
      <c r="A6" t="inlineStr">
        <is>
          <t>Cornerstone Industrial Group, Corp</t>
        </is>
      </c>
      <c r="B6" t="inlineStr">
        <is>
          <t>Rene J. Torres Blasini</t>
        </is>
      </c>
      <c r="C6" s="9" t="n">
        <v>46091</v>
      </c>
      <c r="D6" s="9" t="n"/>
      <c r="E6" s="9" t="n">
        <v>46091</v>
      </c>
      <c r="F6" s="9" t="n"/>
      <c r="G6" s="9" t="n">
        <v>46091</v>
      </c>
      <c r="H6" s="9" t="n"/>
      <c r="I6" s="9" t="n"/>
      <c r="J6" s="9" t="n"/>
      <c r="K6" s="9" t="n"/>
      <c r="L6" s="9" t="n">
        <v>46091</v>
      </c>
      <c r="M6" s="9" t="n"/>
      <c r="N6" s="9" t="n"/>
      <c r="O6" s="9" t="n">
        <v>46091</v>
      </c>
      <c r="P6" s="9" t="n">
        <v>46100</v>
      </c>
      <c r="Q6" s="9" t="n"/>
      <c r="R6" s="9" t="n"/>
      <c r="S6" s="9" t="n"/>
      <c r="T6" s="9" t="n"/>
      <c r="U6" s="9" t="n">
        <v>46091</v>
      </c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</row>
    <row r="7">
      <c r="A7" t="inlineStr">
        <is>
          <t>Cornerstone Industrial Group, Corp</t>
        </is>
      </c>
      <c r="B7" t="inlineStr">
        <is>
          <t>Jorge L. Figueroa Torres</t>
        </is>
      </c>
      <c r="C7" s="9" t="n">
        <v>46091</v>
      </c>
      <c r="D7" s="9" t="n"/>
      <c r="E7" s="9" t="n">
        <v>46091</v>
      </c>
      <c r="F7" s="9" t="n"/>
      <c r="G7" s="9" t="n">
        <v>46091</v>
      </c>
      <c r="H7" s="9" t="n"/>
      <c r="I7" s="9" t="n"/>
      <c r="J7" s="9" t="n"/>
      <c r="K7" s="9" t="n"/>
      <c r="L7" s="9" t="n">
        <v>46091</v>
      </c>
      <c r="M7" s="9" t="n"/>
      <c r="N7" s="9" t="n"/>
      <c r="O7" s="9" t="n">
        <v>46091</v>
      </c>
      <c r="P7" s="9" t="n">
        <v>46100</v>
      </c>
      <c r="Q7" s="9" t="n"/>
      <c r="R7" s="9" t="n"/>
      <c r="S7" s="9" t="n"/>
      <c r="T7" s="9" t="n"/>
      <c r="U7" s="9" t="n">
        <v>46091</v>
      </c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</row>
    <row r="8">
      <c r="A8" t="inlineStr">
        <is>
          <t>Cornerstone Industrial Group, Corp</t>
        </is>
      </c>
      <c r="B8" t="inlineStr">
        <is>
          <t>Giovani Torres</t>
        </is>
      </c>
      <c r="C8" s="9" t="n">
        <v>46091</v>
      </c>
      <c r="D8" s="9" t="n"/>
      <c r="E8" s="9" t="n">
        <v>46091</v>
      </c>
      <c r="F8" s="9" t="n"/>
      <c r="G8" s="9" t="n">
        <v>46091</v>
      </c>
      <c r="H8" s="9" t="n"/>
      <c r="I8" s="9" t="n"/>
      <c r="J8" s="9" t="n"/>
      <c r="K8" s="9" t="n"/>
      <c r="L8" s="9" t="n">
        <v>46091</v>
      </c>
      <c r="M8" s="9" t="n"/>
      <c r="N8" s="9" t="n"/>
      <c r="O8" s="9" t="n">
        <v>46091</v>
      </c>
      <c r="P8" s="9" t="n">
        <v>46100</v>
      </c>
      <c r="Q8" s="9" t="n"/>
      <c r="R8" s="9" t="n"/>
      <c r="S8" s="9" t="n"/>
      <c r="T8" s="9" t="n"/>
      <c r="U8" s="9" t="n">
        <v>46091</v>
      </c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</row>
    <row r="9">
      <c r="A9" t="inlineStr">
        <is>
          <t>Cornerstone Industrial Group, Corp</t>
        </is>
      </c>
      <c r="B9" t="inlineStr">
        <is>
          <t>Santos Rivera Tirado</t>
        </is>
      </c>
      <c r="C9" s="9" t="n">
        <v>46091</v>
      </c>
      <c r="D9" s="9" t="n"/>
      <c r="E9" s="9" t="n">
        <v>46091</v>
      </c>
      <c r="F9" s="9" t="n"/>
      <c r="G9" s="9" t="n">
        <v>46091</v>
      </c>
      <c r="H9" s="9" t="n"/>
      <c r="I9" s="9" t="n"/>
      <c r="J9" s="9" t="n"/>
      <c r="K9" s="9" t="n"/>
      <c r="L9" s="9" t="n">
        <v>46091</v>
      </c>
      <c r="M9" s="9" t="n"/>
      <c r="N9" s="9" t="n"/>
      <c r="O9" s="9" t="n">
        <v>46091</v>
      </c>
      <c r="P9" s="9" t="n">
        <v>46100</v>
      </c>
      <c r="Q9" s="9" t="n"/>
      <c r="R9" s="9" t="n"/>
      <c r="S9" s="9" t="n"/>
      <c r="T9" s="9" t="n"/>
      <c r="U9" s="9" t="n">
        <v>46091</v>
      </c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</row>
    <row r="10">
      <c r="A10" t="inlineStr">
        <is>
          <t>Cornerstone Industrial Group, Corp</t>
        </is>
      </c>
      <c r="B10" t="inlineStr">
        <is>
          <t>José J. Rincon</t>
        </is>
      </c>
      <c r="C10" s="9" t="n">
        <v>46091</v>
      </c>
      <c r="D10" s="9" t="n"/>
      <c r="E10" s="9" t="n">
        <v>46091</v>
      </c>
      <c r="F10" s="9" t="n">
        <v>44929</v>
      </c>
      <c r="G10" s="9" t="n">
        <v>46091</v>
      </c>
      <c r="H10" s="9" t="n">
        <v>45720</v>
      </c>
      <c r="I10" s="9" t="n">
        <v>45328</v>
      </c>
      <c r="J10" s="9" t="n">
        <v>45328</v>
      </c>
      <c r="K10" s="9" t="n">
        <v>45720</v>
      </c>
      <c r="L10" s="9" t="n">
        <v>46091</v>
      </c>
      <c r="M10" s="9" t="n">
        <v>44929</v>
      </c>
      <c r="N10" s="9" t="n"/>
      <c r="O10" s="9" t="n">
        <v>46091</v>
      </c>
      <c r="P10" s="9" t="n"/>
      <c r="Q10" s="9" t="n"/>
      <c r="R10" s="9" t="n"/>
      <c r="S10" s="9" t="n"/>
      <c r="T10" s="9" t="n"/>
      <c r="U10" s="9" t="n"/>
      <c r="V10" s="9" t="n">
        <v>39483</v>
      </c>
      <c r="W10" s="9" t="n">
        <v>45143</v>
      </c>
      <c r="X10" s="9" t="n">
        <v>45143</v>
      </c>
      <c r="Y10" s="9" t="n">
        <v>44972</v>
      </c>
      <c r="Z10" s="9" t="n">
        <v>44972</v>
      </c>
      <c r="AA10" s="9" t="n"/>
      <c r="AB10" s="9" t="n"/>
      <c r="AC10" s="9" t="n"/>
      <c r="AD10" s="9" t="n"/>
      <c r="AE10" s="9" t="n"/>
      <c r="AF10" s="9" t="n"/>
    </row>
    <row r="11">
      <c r="A11" t="inlineStr">
        <is>
          <t>Cornerstone Industrial Group, Corp</t>
        </is>
      </c>
      <c r="B11" t="inlineStr">
        <is>
          <t>Carlos O. Luhring</t>
        </is>
      </c>
      <c r="C11" s="9" t="n">
        <v>46091</v>
      </c>
      <c r="D11" s="9" t="n"/>
      <c r="E11" s="9" t="n">
        <v>46091</v>
      </c>
      <c r="F11" s="3" t="n">
        <v>44929</v>
      </c>
      <c r="G11" s="9" t="n">
        <v>46091</v>
      </c>
      <c r="H11" s="9" t="n">
        <v>45720</v>
      </c>
      <c r="I11" s="9" t="n">
        <v>45328</v>
      </c>
      <c r="J11" s="9" t="n">
        <v>45328</v>
      </c>
      <c r="K11" s="9" t="n">
        <v>45720</v>
      </c>
      <c r="L11" s="9" t="n">
        <v>46091</v>
      </c>
      <c r="M11" s="9" t="n">
        <v>44929</v>
      </c>
      <c r="N11" s="9" t="n"/>
      <c r="O11" s="9" t="n">
        <v>46091</v>
      </c>
      <c r="P11" s="9" t="n"/>
      <c r="Q11" s="9" t="n"/>
      <c r="R11" s="9" t="n"/>
      <c r="S11" s="9" t="n"/>
      <c r="T11" s="9" t="n"/>
      <c r="U11" s="9" t="n"/>
      <c r="V11" s="9" t="n">
        <v>39483</v>
      </c>
      <c r="W11" s="9" t="n">
        <v>45143</v>
      </c>
      <c r="X11" s="9" t="n">
        <v>45143</v>
      </c>
      <c r="Y11" s="9" t="n">
        <v>44972</v>
      </c>
      <c r="Z11" s="9" t="n">
        <v>44972</v>
      </c>
      <c r="AA11" s="9" t="n"/>
      <c r="AB11" s="9" t="n"/>
      <c r="AC11" s="9" t="n"/>
      <c r="AD11" s="9" t="n"/>
      <c r="AE11" s="9" t="n"/>
      <c r="AF11" s="9" t="n"/>
    </row>
    <row r="12">
      <c r="A12" t="inlineStr">
        <is>
          <t>Cornerstone Industrial Group, Corp</t>
        </is>
      </c>
      <c r="B12" t="inlineStr">
        <is>
          <t>Felipe Lopez Dinardi</t>
        </is>
      </c>
      <c r="C12" s="9" t="n">
        <v>46091</v>
      </c>
      <c r="D12" s="9" t="n"/>
      <c r="E12" s="9" t="n">
        <v>46091</v>
      </c>
      <c r="F12" s="9" t="n">
        <v>44929</v>
      </c>
      <c r="G12" s="9" t="n">
        <v>46091</v>
      </c>
      <c r="H12" s="9" t="n">
        <v>45720</v>
      </c>
      <c r="I12" s="9" t="n">
        <v>45328</v>
      </c>
      <c r="J12" s="9" t="n">
        <v>45328</v>
      </c>
      <c r="K12" s="9" t="n">
        <v>45720</v>
      </c>
      <c r="L12" s="9" t="n">
        <v>46091</v>
      </c>
      <c r="M12" s="9" t="n">
        <v>44929</v>
      </c>
      <c r="N12" s="9" t="n"/>
      <c r="O12" s="9" t="n">
        <v>46091</v>
      </c>
      <c r="P12" s="9" t="n"/>
      <c r="Q12" s="9" t="n"/>
      <c r="R12" s="9" t="n"/>
      <c r="S12" s="9" t="n"/>
      <c r="T12" s="9" t="n"/>
      <c r="U12" s="9" t="n"/>
      <c r="V12" s="9" t="n">
        <v>39483</v>
      </c>
      <c r="W12" s="9" t="n">
        <v>45143</v>
      </c>
      <c r="X12" s="9" t="n">
        <v>45143</v>
      </c>
      <c r="Y12" s="9" t="n">
        <v>44972</v>
      </c>
      <c r="Z12" s="9" t="n">
        <v>44972</v>
      </c>
      <c r="AA12" s="9" t="n"/>
      <c r="AB12" s="9" t="n"/>
      <c r="AC12" s="9" t="n"/>
      <c r="AD12" s="9" t="n"/>
      <c r="AE12" s="9" t="n"/>
      <c r="AF12" s="9" t="n"/>
    </row>
    <row r="13">
      <c r="A13" t="inlineStr">
        <is>
          <t>GeoEnviroTech, Inc</t>
        </is>
      </c>
      <c r="B13" t="inlineStr">
        <is>
          <t>William Rodriguez Rivera</t>
        </is>
      </c>
      <c r="C13" s="9" t="n">
        <v>45764</v>
      </c>
      <c r="D13" s="9" t="n"/>
      <c r="E13" s="9" t="n"/>
      <c r="F13" s="9" t="n"/>
      <c r="G13" s="9" t="n"/>
      <c r="H13" s="9" t="n"/>
      <c r="I13" s="9" t="n">
        <v>45764</v>
      </c>
      <c r="J13" s="9" t="n">
        <v>45764</v>
      </c>
      <c r="K13" s="9" t="n"/>
      <c r="L13" s="9" t="n"/>
      <c r="M13" s="9" t="n"/>
      <c r="N13" s="9" t="n"/>
      <c r="O13" s="9" t="n">
        <v>45764</v>
      </c>
      <c r="P13" s="9" t="n"/>
      <c r="Q13" s="9" t="n">
        <v>38534</v>
      </c>
      <c r="R13" s="9" t="n">
        <v>45764</v>
      </c>
      <c r="S13" s="9" t="n">
        <v>40333</v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</row>
    <row r="14">
      <c r="A14" t="inlineStr">
        <is>
          <t>GeoEnviroTech, Inc</t>
        </is>
      </c>
      <c r="B14" t="inlineStr">
        <is>
          <t>Hardy Rodríguez Vázquez</t>
        </is>
      </c>
      <c r="C14" s="9" t="n">
        <v>45764</v>
      </c>
      <c r="D14" s="9" t="n"/>
      <c r="E14" s="9" t="n"/>
      <c r="F14" s="9" t="n"/>
      <c r="G14" s="9" t="n"/>
      <c r="H14" s="9" t="n"/>
      <c r="I14" s="9" t="n">
        <v>45764</v>
      </c>
      <c r="J14" s="9" t="n">
        <v>45764</v>
      </c>
      <c r="K14" s="9" t="n"/>
      <c r="L14" s="9" t="n"/>
      <c r="M14" s="9" t="n"/>
      <c r="N14" s="9" t="n"/>
      <c r="O14" s="9" t="n">
        <v>45764</v>
      </c>
      <c r="P14" s="9" t="n"/>
      <c r="Q14" s="9" t="n">
        <v>39448</v>
      </c>
      <c r="R14" s="9" t="n">
        <v>45764</v>
      </c>
      <c r="S14" s="9" t="n">
        <v>40333</v>
      </c>
      <c r="T14" s="9" t="n">
        <v>45755</v>
      </c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</row>
    <row r="15">
      <c r="A15" t="inlineStr">
        <is>
          <t>GeoEnviroTech, Inc</t>
        </is>
      </c>
      <c r="B15" t="inlineStr">
        <is>
          <t>Juan D. Negrón Hernández</t>
        </is>
      </c>
      <c r="C15" s="9" t="n">
        <v>45764</v>
      </c>
      <c r="D15" s="9" t="n"/>
      <c r="E15" s="9" t="n"/>
      <c r="F15" s="9" t="n"/>
      <c r="G15" s="9" t="n"/>
      <c r="H15" s="9" t="n"/>
      <c r="I15" s="9" t="n">
        <v>45764</v>
      </c>
      <c r="J15" s="9" t="n">
        <v>45764</v>
      </c>
      <c r="K15" s="9" t="n"/>
      <c r="L15" s="9" t="n"/>
      <c r="M15" s="9" t="n"/>
      <c r="N15" s="9" t="n"/>
      <c r="O15" s="9" t="n">
        <v>45764</v>
      </c>
      <c r="P15" s="9" t="n"/>
      <c r="Q15" s="9" t="n">
        <v>33909</v>
      </c>
      <c r="R15" s="9" t="n">
        <v>45764</v>
      </c>
      <c r="S15" s="9" t="n">
        <v>39668</v>
      </c>
      <c r="T15" s="9" t="n">
        <v>45755</v>
      </c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</row>
    <row r="16">
      <c r="A16" t="inlineStr">
        <is>
          <t>GeoEnviroTech, Inc</t>
        </is>
      </c>
      <c r="B16" t="inlineStr">
        <is>
          <t>Rafael Díaz Colón</t>
        </is>
      </c>
      <c r="C16" s="9" t="n">
        <v>45764</v>
      </c>
      <c r="D16" s="9" t="n"/>
      <c r="E16" s="9" t="n"/>
      <c r="F16" s="9" t="n"/>
      <c r="G16" s="9" t="n"/>
      <c r="H16" s="9" t="n"/>
      <c r="I16" s="9" t="n">
        <v>45764</v>
      </c>
      <c r="J16" s="9" t="n">
        <v>45764</v>
      </c>
      <c r="K16" s="9" t="n"/>
      <c r="L16" s="9" t="n"/>
      <c r="M16" s="9" t="n"/>
      <c r="N16" s="9" t="n"/>
      <c r="O16" s="9" t="n">
        <v>45764</v>
      </c>
      <c r="P16" s="9" t="n"/>
      <c r="Q16" s="9" t="n">
        <v>39448</v>
      </c>
      <c r="R16" s="9" t="n">
        <v>45764</v>
      </c>
      <c r="S16" s="9" t="n">
        <v>40333</v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</row>
    <row r="17">
      <c r="A17" t="inlineStr">
        <is>
          <t>GeoEnviroTech, Inc</t>
        </is>
      </c>
      <c r="B17" t="inlineStr">
        <is>
          <t>Luis A. Padilla Díaz</t>
        </is>
      </c>
      <c r="C17" s="9" t="n">
        <v>45764</v>
      </c>
      <c r="D17" s="9" t="n"/>
      <c r="E17" s="9" t="n"/>
      <c r="F17" s="9" t="n"/>
      <c r="G17" s="9" t="n"/>
      <c r="H17" s="9" t="n"/>
      <c r="I17" s="9" t="n">
        <v>45764</v>
      </c>
      <c r="J17" s="9" t="n">
        <v>45764</v>
      </c>
      <c r="K17" s="9" t="n"/>
      <c r="L17" s="9" t="n"/>
      <c r="M17" s="9" t="n"/>
      <c r="N17" s="9" t="n"/>
      <c r="O17" s="9" t="n">
        <v>45764</v>
      </c>
      <c r="P17" s="9" t="n"/>
      <c r="Q17" s="9" t="n">
        <v>42917</v>
      </c>
      <c r="R17" s="9" t="n">
        <v>45764</v>
      </c>
      <c r="S17" s="9" t="n">
        <v>42745</v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</row>
    <row r="18" ht="14.25" customHeight="1" s="15">
      <c r="A18" t="inlineStr">
        <is>
          <t>GeoEnviroTech, Inc</t>
        </is>
      </c>
      <c r="B18" t="inlineStr">
        <is>
          <t>Jesús Quiñonez Ayala</t>
        </is>
      </c>
      <c r="C18" s="9" t="n">
        <v>45764</v>
      </c>
      <c r="D18" s="9" t="n"/>
      <c r="E18" s="9" t="n"/>
      <c r="F18" s="9" t="n"/>
      <c r="G18" s="9" t="n"/>
      <c r="H18" s="9" t="n"/>
      <c r="I18" s="9" t="n">
        <v>45764</v>
      </c>
      <c r="J18" s="9" t="n">
        <v>45764</v>
      </c>
      <c r="K18" s="9" t="n"/>
      <c r="L18" s="9" t="n"/>
      <c r="M18" s="9" t="n"/>
      <c r="N18" s="9" t="n"/>
      <c r="O18" s="9" t="n">
        <v>45764</v>
      </c>
      <c r="P18" s="9" t="n"/>
      <c r="Q18" s="9" t="n">
        <v>42917</v>
      </c>
      <c r="R18" s="9" t="n">
        <v>45764</v>
      </c>
      <c r="S18" s="9" t="n">
        <v>42745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</row>
    <row r="19">
      <c r="A19" t="inlineStr">
        <is>
          <t>Cornerstone Industrial Group, Corp</t>
        </is>
      </c>
      <c r="B19" t="inlineStr">
        <is>
          <t>Carlos Luhring</t>
        </is>
      </c>
      <c r="C19" s="9" t="n">
        <v>41225</v>
      </c>
      <c r="D19" s="9" t="n"/>
      <c r="E19" s="9" t="n">
        <v>41225</v>
      </c>
      <c r="F19" s="9" t="n"/>
      <c r="G19" s="9" t="n">
        <v>41225</v>
      </c>
      <c r="H19" s="9" t="n">
        <v>41225</v>
      </c>
      <c r="I19" s="9" t="n">
        <v>41225</v>
      </c>
      <c r="J19" s="9" t="n"/>
      <c r="K19" s="9" t="n"/>
      <c r="L19" s="9" t="n">
        <v>41225</v>
      </c>
      <c r="M19" s="9" t="n">
        <v>41225</v>
      </c>
      <c r="N19" s="9" t="n"/>
      <c r="O19" s="9" t="n">
        <v>41225</v>
      </c>
      <c r="P19" s="9" t="n">
        <v>46149</v>
      </c>
      <c r="Q19" s="9" t="n"/>
      <c r="R19" s="9" t="n"/>
      <c r="S19" s="9" t="n"/>
      <c r="T19" s="9" t="n"/>
      <c r="U19" s="9" t="n"/>
      <c r="V19" s="9" t="n">
        <v>41225</v>
      </c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</row>
    <row r="20">
      <c r="A20" t="inlineStr">
        <is>
          <t>Cornerstone Industrial Group, Corp</t>
        </is>
      </c>
      <c r="B20" t="inlineStr">
        <is>
          <t>Joshua Bonilla</t>
        </is>
      </c>
      <c r="C20" s="9" t="n">
        <v>45334</v>
      </c>
      <c r="D20" s="9" t="n"/>
      <c r="E20" s="9" t="n">
        <v>45334</v>
      </c>
      <c r="F20" s="9" t="n"/>
      <c r="G20" s="9" t="n">
        <v>45334</v>
      </c>
      <c r="H20" s="9" t="n">
        <v>45334</v>
      </c>
      <c r="I20" s="9" t="n">
        <v>45334</v>
      </c>
      <c r="J20" s="9" t="n"/>
      <c r="K20" s="9" t="n"/>
      <c r="L20" s="9" t="n">
        <v>45334</v>
      </c>
      <c r="M20" s="9" t="n">
        <v>45334</v>
      </c>
      <c r="N20" s="9" t="n"/>
      <c r="O20" s="9" t="n">
        <v>45334</v>
      </c>
      <c r="P20" s="9" t="n">
        <v>46149</v>
      </c>
      <c r="Q20" s="9" t="n"/>
      <c r="R20" s="9" t="n"/>
      <c r="S20" s="9" t="n"/>
      <c r="T20" s="9" t="n"/>
      <c r="U20" s="9" t="n"/>
      <c r="V20" s="9" t="n">
        <v>45334</v>
      </c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</row>
    <row r="21">
      <c r="A21" t="inlineStr">
        <is>
          <t>Cornerstone Industrial Group, Corp</t>
        </is>
      </c>
      <c r="B21" t="inlineStr">
        <is>
          <t>Pedro Bonilla</t>
        </is>
      </c>
      <c r="C21" s="9" t="n">
        <v>45976</v>
      </c>
      <c r="D21" s="9" t="n"/>
      <c r="E21" s="9" t="n">
        <v>45976</v>
      </c>
      <c r="F21" s="9" t="n"/>
      <c r="G21" s="9" t="n">
        <v>45976</v>
      </c>
      <c r="H21" s="9" t="n"/>
      <c r="I21" s="9" t="n"/>
      <c r="J21" s="9" t="n"/>
      <c r="K21" s="9" t="n"/>
      <c r="L21" s="9" t="n"/>
      <c r="M21" s="9" t="n"/>
      <c r="N21" s="9" t="n"/>
      <c r="O21" s="9" t="n">
        <v>45976</v>
      </c>
      <c r="P21" s="9" t="n">
        <v>46149</v>
      </c>
      <c r="Q21" s="9" t="n"/>
      <c r="R21" s="9" t="n"/>
      <c r="S21" s="9" t="n"/>
      <c r="T21" s="9" t="n"/>
      <c r="U21" s="9" t="n">
        <v>45976</v>
      </c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</row>
    <row r="22">
      <c r="A22" t="inlineStr">
        <is>
          <t>Cornerstone Industrial Group, Corp</t>
        </is>
      </c>
      <c r="B22" t="inlineStr">
        <is>
          <t>Máximo López</t>
        </is>
      </c>
      <c r="C22" s="9" t="n">
        <v>46049</v>
      </c>
      <c r="D22" s="9" t="n"/>
      <c r="E22" s="9" t="n">
        <v>46049</v>
      </c>
      <c r="F22" s="9" t="n"/>
      <c r="G22" s="9" t="n">
        <v>46049</v>
      </c>
      <c r="H22" s="9" t="n"/>
      <c r="I22" s="9" t="n"/>
      <c r="J22" s="9" t="n"/>
      <c r="K22" s="9" t="n"/>
      <c r="L22" s="9" t="n"/>
      <c r="M22" s="9" t="n"/>
      <c r="N22" s="9" t="n"/>
      <c r="O22" s="9" t="n">
        <v>46049</v>
      </c>
      <c r="P22" s="9" t="n">
        <v>46149</v>
      </c>
      <c r="Q22" s="9" t="n"/>
      <c r="R22" s="9" t="n"/>
      <c r="S22" s="9" t="n"/>
      <c r="T22" s="9" t="n"/>
      <c r="U22" s="9" t="n">
        <v>46049</v>
      </c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</row>
    <row r="23">
      <c r="A23" t="inlineStr">
        <is>
          <t>Cornerstone Industrial Group, Corp</t>
        </is>
      </c>
      <c r="B23" t="inlineStr">
        <is>
          <t>Omar Rodríguez</t>
        </is>
      </c>
      <c r="C23" s="9" t="n"/>
      <c r="D23" s="9" t="n"/>
      <c r="E23" s="9" t="n"/>
      <c r="F23" s="9" t="n">
        <v>45734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>
        <v>46121</v>
      </c>
      <c r="P23" s="9" t="n">
        <v>46149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>
        <v>45734</v>
      </c>
      <c r="AE23" s="9" t="n">
        <v>46121</v>
      </c>
      <c r="AF23" s="9" t="n"/>
    </row>
    <row r="24">
      <c r="A24" t="inlineStr">
        <is>
          <t>Cornerstone Industrial Group, Corp</t>
        </is>
      </c>
      <c r="B24" t="inlineStr">
        <is>
          <t>Ángel Martínez</t>
        </is>
      </c>
      <c r="C24" s="9" t="n"/>
      <c r="D24" s="9" t="n"/>
      <c r="E24" s="9" t="n"/>
      <c r="F24" s="9" t="n">
        <v>45734</v>
      </c>
      <c r="G24" s="9" t="n"/>
      <c r="H24" s="9" t="n"/>
      <c r="I24" s="9" t="n"/>
      <c r="J24" s="9" t="n"/>
      <c r="K24" s="9" t="n"/>
      <c r="L24" s="9" t="n"/>
      <c r="M24" s="9" t="n"/>
      <c r="N24" s="9" t="n"/>
      <c r="O24" s="9" t="n">
        <v>46121</v>
      </c>
      <c r="P24" s="9" t="n">
        <v>46149</v>
      </c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>
        <v>45734</v>
      </c>
      <c r="AE24" s="9" t="n">
        <v>46121</v>
      </c>
      <c r="AF24" s="9" t="n"/>
    </row>
    <row r="25">
      <c r="A25" t="inlineStr">
        <is>
          <t>Cornerstone Industrial Group, Corp</t>
        </is>
      </c>
      <c r="B25" t="inlineStr">
        <is>
          <t>Erick Mar Rodríguez</t>
        </is>
      </c>
      <c r="C25" s="9" t="n"/>
      <c r="D25" s="9" t="n"/>
      <c r="E25" s="9" t="n"/>
      <c r="F25" s="9" t="n">
        <v>45734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46121</v>
      </c>
      <c r="P25" s="9" t="n">
        <v>46149</v>
      </c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>
        <v>45734</v>
      </c>
      <c r="AE25" s="9" t="n">
        <v>46121</v>
      </c>
      <c r="AF25" s="9" t="n"/>
    </row>
    <row r="26">
      <c r="A26" t="inlineStr">
        <is>
          <t>Cornerstone Industrial Group, Corp</t>
        </is>
      </c>
      <c r="B26" t="inlineStr">
        <is>
          <t>Erick S. Rodríguez</t>
        </is>
      </c>
      <c r="C26" s="9" t="n"/>
      <c r="D26" s="9" t="n"/>
      <c r="E26" s="9" t="n"/>
      <c r="F26" s="9" t="n">
        <v>45734</v>
      </c>
      <c r="G26" s="9" t="n"/>
      <c r="H26" s="9" t="n"/>
      <c r="I26" s="9" t="n"/>
      <c r="J26" s="9" t="n"/>
      <c r="K26" s="9" t="n"/>
      <c r="L26" s="9" t="n"/>
      <c r="M26" s="9" t="n"/>
      <c r="N26" s="9" t="n"/>
      <c r="O26" s="9" t="n">
        <v>46121</v>
      </c>
      <c r="P26" s="9" t="n">
        <v>46149</v>
      </c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>
        <v>45734</v>
      </c>
      <c r="AE26" s="9" t="n">
        <v>46121</v>
      </c>
      <c r="AF26" s="9" t="n"/>
    </row>
    <row r="27">
      <c r="A27" t="inlineStr">
        <is>
          <t>UltraPure Systems, Inc</t>
        </is>
      </c>
      <c r="B27" t="inlineStr">
        <is>
          <t>Angel Maldonado</t>
        </is>
      </c>
      <c r="C27" s="9" t="n">
        <v>46038</v>
      </c>
      <c r="D27" s="9" t="n">
        <v>46038</v>
      </c>
      <c r="E27" s="9" t="n">
        <v>46038</v>
      </c>
      <c r="F27" s="9" t="n"/>
      <c r="G27" s="9" t="n"/>
      <c r="H27" s="9" t="n">
        <v>46038</v>
      </c>
      <c r="I27" s="9" t="n">
        <v>46038</v>
      </c>
      <c r="J27" s="9" t="n">
        <v>46038</v>
      </c>
      <c r="K27" s="9" t="n"/>
      <c r="L27" s="9" t="n">
        <v>46038</v>
      </c>
      <c r="M27" s="9" t="n">
        <v>46038</v>
      </c>
      <c r="N27" s="9" t="n"/>
      <c r="O27" s="9" t="n">
        <v>46038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>
        <v>46038</v>
      </c>
    </row>
    <row r="28">
      <c r="A28" t="inlineStr">
        <is>
          <t>UltraPure Systems, Inc</t>
        </is>
      </c>
      <c r="B28" t="inlineStr">
        <is>
          <t>juan Ramos</t>
        </is>
      </c>
      <c r="C28" s="9" t="n">
        <v>46038</v>
      </c>
      <c r="D28" s="9" t="n">
        <v>46038</v>
      </c>
      <c r="E28" s="9" t="n">
        <v>46038</v>
      </c>
      <c r="F28" s="9" t="n"/>
      <c r="G28" s="9" t="n"/>
      <c r="H28" s="9" t="n">
        <v>46038</v>
      </c>
      <c r="I28" s="9" t="n">
        <v>46038</v>
      </c>
      <c r="J28" s="9" t="n">
        <v>46038</v>
      </c>
      <c r="K28" s="9" t="n"/>
      <c r="L28" s="9" t="n">
        <v>46038</v>
      </c>
      <c r="M28" s="9" t="n">
        <v>46038</v>
      </c>
      <c r="N28" s="9" t="n"/>
      <c r="O28" s="9" t="n">
        <v>46038</v>
      </c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>
        <v>46038</v>
      </c>
    </row>
    <row r="29">
      <c r="A29" t="inlineStr">
        <is>
          <t>UltraPure Systems, Inc</t>
        </is>
      </c>
      <c r="B29" t="inlineStr">
        <is>
          <t>Luis G. Rodriguez</t>
        </is>
      </c>
      <c r="C29" s="9" t="n">
        <v>46038</v>
      </c>
      <c r="D29" s="9" t="n">
        <v>46038</v>
      </c>
      <c r="E29" s="9" t="n">
        <v>46038</v>
      </c>
      <c r="F29" s="9" t="n"/>
      <c r="G29" s="9" t="n"/>
      <c r="H29" s="9" t="n">
        <v>46038</v>
      </c>
      <c r="I29" s="9" t="n">
        <v>46038</v>
      </c>
      <c r="J29" s="9" t="n">
        <v>46038</v>
      </c>
      <c r="K29" s="9" t="n"/>
      <c r="L29" s="9" t="n">
        <v>46038</v>
      </c>
      <c r="M29" s="9" t="n">
        <v>46038</v>
      </c>
      <c r="N29" s="9" t="n"/>
      <c r="O29" s="9" t="n">
        <v>46038</v>
      </c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>
        <v>46038</v>
      </c>
    </row>
    <row r="30">
      <c r="A30" t="inlineStr">
        <is>
          <t>UltraPure Systems, Inc</t>
        </is>
      </c>
      <c r="B30" t="inlineStr">
        <is>
          <t>Jose H. Vega</t>
        </is>
      </c>
      <c r="C30" s="9" t="n">
        <v>46129</v>
      </c>
      <c r="D30" s="9" t="n">
        <v>46129</v>
      </c>
      <c r="E30" s="9" t="n">
        <v>46129</v>
      </c>
      <c r="F30" s="9" t="n"/>
      <c r="G30" s="9" t="n"/>
      <c r="H30" s="9" t="n">
        <v>46129</v>
      </c>
      <c r="I30" s="9" t="n">
        <v>46129</v>
      </c>
      <c r="J30" s="9" t="n">
        <v>46129</v>
      </c>
      <c r="K30" s="9" t="n"/>
      <c r="L30" s="9" t="n">
        <v>46129</v>
      </c>
      <c r="M30" s="9" t="n">
        <v>46129</v>
      </c>
      <c r="N30" s="9" t="n"/>
      <c r="O30" s="9" t="n">
        <v>46129</v>
      </c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>
        <v>46129</v>
      </c>
    </row>
    <row r="31">
      <c r="A31" t="inlineStr">
        <is>
          <t>UltraPure Systems, Inc</t>
        </is>
      </c>
      <c r="B31" t="inlineStr">
        <is>
          <t>Julio Cordero</t>
        </is>
      </c>
      <c r="C31" s="9" t="n">
        <v>46129</v>
      </c>
      <c r="D31" s="9" t="n">
        <v>46129</v>
      </c>
      <c r="E31" s="9" t="n">
        <v>46129</v>
      </c>
      <c r="F31" s="9" t="n"/>
      <c r="G31" s="9" t="n"/>
      <c r="H31" s="9" t="n">
        <v>46129</v>
      </c>
      <c r="I31" s="9" t="n">
        <v>46129</v>
      </c>
      <c r="J31" s="9" t="n">
        <v>46129</v>
      </c>
      <c r="K31" s="9" t="n"/>
      <c r="L31" s="9" t="n">
        <v>46129</v>
      </c>
      <c r="M31" s="9" t="n">
        <v>46129</v>
      </c>
      <c r="N31" s="9" t="n"/>
      <c r="O31" s="9" t="n">
        <v>46129</v>
      </c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>
        <v>46129</v>
      </c>
    </row>
    <row r="32">
      <c r="A32" t="inlineStr">
        <is>
          <t>UltraPure Systems, Inc</t>
        </is>
      </c>
      <c r="B32" t="inlineStr">
        <is>
          <t>Yahil Ruiz</t>
        </is>
      </c>
      <c r="C32" s="9" t="n">
        <v>46129</v>
      </c>
      <c r="D32" s="9" t="n">
        <v>46129</v>
      </c>
      <c r="E32" s="9" t="n">
        <v>46129</v>
      </c>
      <c r="F32" s="9" t="n"/>
      <c r="G32" s="9" t="n"/>
      <c r="H32" s="9" t="n">
        <v>46129</v>
      </c>
      <c r="I32" s="9" t="n">
        <v>46129</v>
      </c>
      <c r="J32" s="9" t="n">
        <v>46129</v>
      </c>
      <c r="K32" s="9" t="n"/>
      <c r="L32" s="9" t="n">
        <v>46129</v>
      </c>
      <c r="M32" s="9" t="n">
        <v>46129</v>
      </c>
      <c r="N32" s="9" t="n"/>
      <c r="O32" s="9" t="n">
        <v>46129</v>
      </c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>
        <v>46129</v>
      </c>
    </row>
    <row r="33">
      <c r="A33" t="inlineStr">
        <is>
          <t>UltraPure Systems, Inc</t>
        </is>
      </c>
      <c r="B33" t="inlineStr">
        <is>
          <t>Sergio D. Rivera</t>
        </is>
      </c>
      <c r="C33" s="9" t="n">
        <v>46129</v>
      </c>
      <c r="D33" s="9" t="n">
        <v>46129</v>
      </c>
      <c r="E33" s="9" t="n">
        <v>46129</v>
      </c>
      <c r="F33" s="9" t="n"/>
      <c r="G33" s="9" t="n"/>
      <c r="H33" s="9" t="n">
        <v>46129</v>
      </c>
      <c r="I33" s="9" t="n">
        <v>46129</v>
      </c>
      <c r="J33" s="9" t="n">
        <v>46129</v>
      </c>
      <c r="K33" s="9" t="n"/>
      <c r="L33" s="9" t="n">
        <v>46129</v>
      </c>
      <c r="M33" s="9" t="n">
        <v>46129</v>
      </c>
      <c r="N33" s="9" t="n"/>
      <c r="O33" s="9" t="n">
        <v>46129</v>
      </c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>
        <v>46129</v>
      </c>
    </row>
    <row r="34">
      <c r="A34" t="inlineStr">
        <is>
          <t>UltraPure Systems, Inc</t>
        </is>
      </c>
      <c r="B34" t="inlineStr">
        <is>
          <t>Carlos Marichal</t>
        </is>
      </c>
      <c r="C34" s="9" t="n">
        <v>46129</v>
      </c>
      <c r="D34" s="9" t="n">
        <v>46129</v>
      </c>
      <c r="E34" s="9" t="n">
        <v>46129</v>
      </c>
      <c r="F34" s="9" t="n"/>
      <c r="G34" s="9" t="n"/>
      <c r="H34" s="9" t="n">
        <v>46129</v>
      </c>
      <c r="I34" s="9" t="n">
        <v>46129</v>
      </c>
      <c r="J34" s="9" t="n">
        <v>46129</v>
      </c>
      <c r="K34" s="9" t="n"/>
      <c r="L34" s="9" t="n">
        <v>46129</v>
      </c>
      <c r="M34" s="9" t="n">
        <v>46129</v>
      </c>
      <c r="N34" s="9" t="n"/>
      <c r="O34" s="9" t="n">
        <v>46129</v>
      </c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>
        <v>46129</v>
      </c>
    </row>
    <row r="35">
      <c r="A35" t="inlineStr">
        <is>
          <t>UltraPure Systems, Inc</t>
        </is>
      </c>
      <c r="B35" t="inlineStr">
        <is>
          <t>Carlos R. Reyes</t>
        </is>
      </c>
      <c r="C35" s="9" t="n">
        <v>46129</v>
      </c>
      <c r="D35" s="9" t="n">
        <v>46129</v>
      </c>
      <c r="E35" s="9" t="n">
        <v>46129</v>
      </c>
      <c r="F35" s="9" t="n"/>
      <c r="G35" s="9" t="n"/>
      <c r="H35" s="9" t="n">
        <v>46129</v>
      </c>
      <c r="I35" s="9" t="n">
        <v>46129</v>
      </c>
      <c r="J35" s="9" t="n">
        <v>46129</v>
      </c>
      <c r="K35" s="9" t="n"/>
      <c r="L35" s="9" t="n">
        <v>46129</v>
      </c>
      <c r="M35" s="9" t="n">
        <v>46129</v>
      </c>
      <c r="N35" s="9" t="n"/>
      <c r="O35" s="9" t="n">
        <v>46129</v>
      </c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>
        <v>46129</v>
      </c>
    </row>
    <row r="36">
      <c r="A36" t="inlineStr">
        <is>
          <t>UltraPure Systems, Inc</t>
        </is>
      </c>
      <c r="B36" t="inlineStr">
        <is>
          <t>Ricardo E. Marichal</t>
        </is>
      </c>
      <c r="C36" s="9" t="n">
        <v>46129</v>
      </c>
      <c r="D36" s="9" t="n">
        <v>46129</v>
      </c>
      <c r="E36" s="9" t="n">
        <v>46129</v>
      </c>
      <c r="F36" s="9" t="n"/>
      <c r="G36" s="9" t="n"/>
      <c r="H36" s="9" t="n">
        <v>46129</v>
      </c>
      <c r="I36" s="9" t="n">
        <v>46129</v>
      </c>
      <c r="J36" s="9" t="n">
        <v>46129</v>
      </c>
      <c r="K36" s="9" t="n"/>
      <c r="L36" s="9" t="n">
        <v>46129</v>
      </c>
      <c r="M36" s="9" t="n">
        <v>46129</v>
      </c>
      <c r="N36" s="9" t="n"/>
      <c r="O36" s="9" t="n">
        <v>46129</v>
      </c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>
        <v>46129</v>
      </c>
    </row>
    <row r="37">
      <c r="A37" t="inlineStr">
        <is>
          <t>UltraPure Systems, Inc</t>
        </is>
      </c>
      <c r="B37" t="inlineStr">
        <is>
          <t>Bradley Reillo</t>
        </is>
      </c>
      <c r="C37" s="9" t="n">
        <v>46129</v>
      </c>
      <c r="D37" s="9" t="n">
        <v>46129</v>
      </c>
      <c r="E37" s="9" t="n">
        <v>46129</v>
      </c>
      <c r="F37" s="9" t="n"/>
      <c r="G37" s="9" t="n"/>
      <c r="H37" s="9" t="n">
        <v>46129</v>
      </c>
      <c r="I37" s="9" t="n">
        <v>46129</v>
      </c>
      <c r="J37" s="9" t="n">
        <v>46129</v>
      </c>
      <c r="K37" s="9" t="n"/>
      <c r="L37" s="9" t="n">
        <v>46129</v>
      </c>
      <c r="M37" s="9" t="n">
        <v>46129</v>
      </c>
      <c r="N37" s="9" t="n"/>
      <c r="O37" s="9" t="n">
        <v>46129</v>
      </c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>
        <v>46129</v>
      </c>
    </row>
    <row r="38">
      <c r="A38" t="inlineStr">
        <is>
          <t>UltraPure Systems, Inc</t>
        </is>
      </c>
      <c r="B38" t="inlineStr">
        <is>
          <t>Luis Carrion</t>
        </is>
      </c>
      <c r="C38" s="9" t="n">
        <v>46129</v>
      </c>
      <c r="D38" s="9" t="n">
        <v>46129</v>
      </c>
      <c r="E38" s="9" t="n">
        <v>46129</v>
      </c>
      <c r="F38" s="9" t="n"/>
      <c r="G38" s="9" t="n"/>
      <c r="H38" s="9" t="n">
        <v>46129</v>
      </c>
      <c r="I38" s="9" t="n">
        <v>46129</v>
      </c>
      <c r="J38" s="9" t="n">
        <v>46129</v>
      </c>
      <c r="K38" s="9" t="n"/>
      <c r="L38" s="9" t="n">
        <v>46129</v>
      </c>
      <c r="M38" s="9" t="n">
        <v>46129</v>
      </c>
      <c r="N38" s="9" t="n"/>
      <c r="O38" s="9" t="n">
        <v>46129</v>
      </c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>
        <v>46129</v>
      </c>
    </row>
    <row r="39">
      <c r="A39" t="inlineStr">
        <is>
          <t>UltraPure Systems, Inc</t>
        </is>
      </c>
      <c r="B39" t="inlineStr">
        <is>
          <t>Luis A. Rosado</t>
        </is>
      </c>
      <c r="C39" s="9" t="n">
        <v>46129</v>
      </c>
      <c r="D39" s="9" t="n">
        <v>46129</v>
      </c>
      <c r="E39" s="9" t="n">
        <v>46129</v>
      </c>
      <c r="F39" s="9" t="n"/>
      <c r="G39" s="9" t="n"/>
      <c r="H39" s="9" t="n">
        <v>46129</v>
      </c>
      <c r="I39" s="9" t="n">
        <v>46129</v>
      </c>
      <c r="J39" s="9" t="n">
        <v>46129</v>
      </c>
      <c r="K39" s="9" t="n"/>
      <c r="L39" s="9" t="n">
        <v>46129</v>
      </c>
      <c r="M39" s="9" t="n">
        <v>46129</v>
      </c>
      <c r="N39" s="9" t="n"/>
      <c r="O39" s="9" t="n">
        <v>46129</v>
      </c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>
        <v>46129</v>
      </c>
    </row>
    <row r="40">
      <c r="A40" t="inlineStr">
        <is>
          <t>UltraPure Systems, Inc</t>
        </is>
      </c>
      <c r="B40" t="inlineStr">
        <is>
          <t>Luis A. Rosado Collazo</t>
        </is>
      </c>
      <c r="C40" s="9" t="n">
        <v>46129</v>
      </c>
      <c r="D40" s="9" t="n">
        <v>46129</v>
      </c>
      <c r="E40" s="9" t="n">
        <v>46129</v>
      </c>
      <c r="F40" s="9" t="n"/>
      <c r="G40" s="9" t="n"/>
      <c r="H40" s="9" t="n">
        <v>46129</v>
      </c>
      <c r="I40" s="9" t="n">
        <v>46129</v>
      </c>
      <c r="J40" s="9" t="n">
        <v>46129</v>
      </c>
      <c r="K40" s="9" t="n"/>
      <c r="L40" s="9" t="n">
        <v>46129</v>
      </c>
      <c r="M40" s="9" t="n">
        <v>46129</v>
      </c>
      <c r="N40" s="9" t="n"/>
      <c r="O40" s="9" t="n">
        <v>46129</v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>
        <v>46129</v>
      </c>
    </row>
    <row r="41">
      <c r="A41" t="inlineStr">
        <is>
          <t>UltraPure Systems, Inc</t>
        </is>
      </c>
      <c r="B41" t="inlineStr">
        <is>
          <t>Rafael Delgado</t>
        </is>
      </c>
      <c r="C41" s="9" t="n">
        <v>46129</v>
      </c>
      <c r="D41" s="9" t="n">
        <v>46129</v>
      </c>
      <c r="E41" s="9" t="n">
        <v>46129</v>
      </c>
      <c r="F41" s="9" t="n"/>
      <c r="G41" s="9" t="n"/>
      <c r="H41" s="9" t="n">
        <v>46129</v>
      </c>
      <c r="I41" s="9" t="n">
        <v>46129</v>
      </c>
      <c r="J41" s="9" t="n">
        <v>46129</v>
      </c>
      <c r="K41" s="9" t="n"/>
      <c r="L41" s="9" t="n">
        <v>46129</v>
      </c>
      <c r="M41" s="9" t="n">
        <v>46129</v>
      </c>
      <c r="N41" s="9" t="n"/>
      <c r="O41" s="9" t="n">
        <v>46129</v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>
        <v>46129</v>
      </c>
    </row>
    <row r="42">
      <c r="A42" t="inlineStr">
        <is>
          <t>UltraPure Systems, Inc</t>
        </is>
      </c>
      <c r="B42" t="inlineStr">
        <is>
          <t>Juan D. Hernandez</t>
        </is>
      </c>
      <c r="C42" s="9" t="n">
        <v>46129</v>
      </c>
      <c r="D42" s="9" t="n">
        <v>46129</v>
      </c>
      <c r="E42" s="9" t="n">
        <v>46129</v>
      </c>
      <c r="F42" s="9" t="n"/>
      <c r="G42" s="9" t="n"/>
      <c r="H42" s="9" t="n">
        <v>46129</v>
      </c>
      <c r="I42" s="9" t="n">
        <v>46129</v>
      </c>
      <c r="J42" s="9" t="n">
        <v>46129</v>
      </c>
      <c r="K42" s="9" t="n"/>
      <c r="L42" s="9" t="n">
        <v>46129</v>
      </c>
      <c r="M42" s="9" t="n">
        <v>46129</v>
      </c>
      <c r="N42" s="9" t="n"/>
      <c r="O42" s="9" t="n">
        <v>46129</v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>
        <v>46129</v>
      </c>
    </row>
    <row r="43">
      <c r="A43" t="inlineStr">
        <is>
          <t>UltraPure Systems, Inc</t>
        </is>
      </c>
      <c r="B43" t="inlineStr">
        <is>
          <t>David E. Alvarado</t>
        </is>
      </c>
      <c r="C43" s="9" t="n">
        <v>46129</v>
      </c>
      <c r="D43" s="9" t="n">
        <v>46129</v>
      </c>
      <c r="E43" s="9" t="n">
        <v>46129</v>
      </c>
      <c r="F43" s="9" t="n"/>
      <c r="G43" s="9" t="n"/>
      <c r="H43" s="9" t="n">
        <v>46129</v>
      </c>
      <c r="I43" s="9" t="n">
        <v>46129</v>
      </c>
      <c r="J43" s="9" t="n">
        <v>46129</v>
      </c>
      <c r="K43" s="9" t="n"/>
      <c r="L43" s="9" t="n">
        <v>46129</v>
      </c>
      <c r="M43" s="9" t="n">
        <v>46129</v>
      </c>
      <c r="N43" s="9" t="n"/>
      <c r="O43" s="9" t="n">
        <v>46129</v>
      </c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>
        <v>46129</v>
      </c>
    </row>
    <row r="44">
      <c r="A44" t="inlineStr">
        <is>
          <t>UltraPure Systems, Inc</t>
        </is>
      </c>
      <c r="B44" t="inlineStr">
        <is>
          <t>Raymond Lopez</t>
        </is>
      </c>
      <c r="C44" s="9" t="n">
        <v>46129</v>
      </c>
      <c r="D44" s="9" t="n">
        <v>46129</v>
      </c>
      <c r="E44" s="9" t="n">
        <v>46129</v>
      </c>
      <c r="F44" s="9" t="n"/>
      <c r="G44" s="9" t="n"/>
      <c r="H44" s="9" t="n">
        <v>46129</v>
      </c>
      <c r="I44" s="9" t="n">
        <v>46129</v>
      </c>
      <c r="J44" s="9" t="n">
        <v>46129</v>
      </c>
      <c r="K44" s="9" t="n"/>
      <c r="L44" s="9" t="n">
        <v>46129</v>
      </c>
      <c r="M44" s="9" t="n">
        <v>46129</v>
      </c>
      <c r="N44" s="9" t="n"/>
      <c r="O44" s="9" t="n">
        <v>46129</v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>
        <v>46129</v>
      </c>
    </row>
    <row r="45">
      <c r="A45" t="inlineStr">
        <is>
          <t>UltraPure Systems, Inc</t>
        </is>
      </c>
      <c r="B45" t="inlineStr">
        <is>
          <t>Gabriel Alvelo</t>
        </is>
      </c>
      <c r="C45" s="9" t="n">
        <v>46129</v>
      </c>
      <c r="D45" s="9" t="n">
        <v>46129</v>
      </c>
      <c r="E45" s="9" t="n">
        <v>46129</v>
      </c>
      <c r="F45" s="9" t="n"/>
      <c r="G45" s="9" t="n"/>
      <c r="H45" s="9" t="n">
        <v>46129</v>
      </c>
      <c r="I45" s="9" t="n">
        <v>46129</v>
      </c>
      <c r="J45" s="9" t="n">
        <v>46129</v>
      </c>
      <c r="K45" s="9" t="n"/>
      <c r="L45" s="9" t="n">
        <v>46129</v>
      </c>
      <c r="M45" s="9" t="n">
        <v>46129</v>
      </c>
      <c r="N45" s="9" t="n"/>
      <c r="O45" s="9" t="n">
        <v>46129</v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>
        <v>46129</v>
      </c>
    </row>
    <row r="46">
      <c r="A46" t="inlineStr">
        <is>
          <t>UltraPure Systems, Inc</t>
        </is>
      </c>
      <c r="B46" t="inlineStr">
        <is>
          <t>Yassiel Y. Ortiz</t>
        </is>
      </c>
      <c r="C46" s="9" t="n">
        <v>46129</v>
      </c>
      <c r="D46" s="9" t="n">
        <v>46129</v>
      </c>
      <c r="E46" s="9" t="n">
        <v>46129</v>
      </c>
      <c r="F46" s="9" t="n"/>
      <c r="G46" s="9" t="n"/>
      <c r="H46" s="9" t="n">
        <v>46129</v>
      </c>
      <c r="I46" s="9" t="n">
        <v>46129</v>
      </c>
      <c r="J46" s="9" t="n">
        <v>46129</v>
      </c>
      <c r="K46" s="9" t="n"/>
      <c r="L46" s="9" t="n">
        <v>46129</v>
      </c>
      <c r="M46" s="9" t="n">
        <v>46129</v>
      </c>
      <c r="N46" s="9" t="n"/>
      <c r="O46" s="9" t="n">
        <v>46129</v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>
        <v>46129</v>
      </c>
    </row>
    <row r="47">
      <c r="A47" t="inlineStr">
        <is>
          <t>UltraPure Systems, Inc</t>
        </is>
      </c>
      <c r="B47" t="inlineStr">
        <is>
          <t>Jose Rosario</t>
        </is>
      </c>
      <c r="C47" s="9" t="n">
        <v>46129</v>
      </c>
      <c r="D47" s="9" t="n">
        <v>46129</v>
      </c>
      <c r="E47" s="9" t="n">
        <v>46129</v>
      </c>
      <c r="F47" s="9" t="n"/>
      <c r="G47" s="9" t="n"/>
      <c r="H47" s="9" t="n">
        <v>46129</v>
      </c>
      <c r="I47" s="9" t="n">
        <v>46129</v>
      </c>
      <c r="J47" s="9" t="n">
        <v>46129</v>
      </c>
      <c r="K47" s="9" t="n"/>
      <c r="L47" s="9" t="n">
        <v>46129</v>
      </c>
      <c r="M47" s="9" t="n">
        <v>46129</v>
      </c>
      <c r="N47" s="9" t="n"/>
      <c r="O47" s="9" t="n">
        <v>46129</v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>
        <v>46129</v>
      </c>
    </row>
    <row r="48">
      <c r="A48" t="inlineStr">
        <is>
          <t>UltraPure Systems, Inc</t>
        </is>
      </c>
      <c r="B48" t="inlineStr">
        <is>
          <t>Calix Gaetan</t>
        </is>
      </c>
      <c r="C48" s="9" t="n">
        <v>46129</v>
      </c>
      <c r="D48" s="9" t="n">
        <v>46129</v>
      </c>
      <c r="E48" s="9" t="n">
        <v>46129</v>
      </c>
      <c r="F48" s="9" t="n"/>
      <c r="G48" s="9" t="n"/>
      <c r="H48" s="9" t="n">
        <v>46129</v>
      </c>
      <c r="I48" s="9" t="n">
        <v>46129</v>
      </c>
      <c r="J48" s="9" t="n">
        <v>46129</v>
      </c>
      <c r="K48" s="9" t="n"/>
      <c r="L48" s="9" t="n">
        <v>46129</v>
      </c>
      <c r="M48" s="9" t="n">
        <v>46129</v>
      </c>
      <c r="N48" s="9" t="n"/>
      <c r="O48" s="9" t="n">
        <v>46129</v>
      </c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>
        <v>46129</v>
      </c>
    </row>
    <row r="49"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</row>
    <row r="50"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</row>
    <row r="51"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</row>
    <row r="52"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</row>
    <row r="53"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</row>
    <row r="54"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</row>
    <row r="55"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</row>
    <row r="56"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</row>
    <row r="57"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</row>
    <row r="58"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</row>
    <row r="59"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</row>
    <row r="60"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</row>
    <row r="61"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</row>
    <row r="62"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</row>
    <row r="63"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</row>
    <row r="64"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</row>
    <row r="65"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</row>
    <row r="66"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</row>
    <row r="67"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</row>
    <row r="68"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</row>
    <row r="69"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</row>
    <row r="70"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</row>
    <row r="71"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</row>
    <row r="72"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</row>
    <row r="73"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</row>
    <row r="74"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</row>
    <row r="75"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</row>
    <row r="76"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</row>
    <row r="77"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</row>
    <row r="78"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</row>
    <row r="79"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</row>
    <row r="80"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</row>
    <row r="81"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</row>
    <row r="82"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</row>
    <row r="83"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</row>
    <row r="84"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</row>
    <row r="85"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</row>
    <row r="86"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</row>
    <row r="87"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</row>
    <row r="88"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</row>
    <row r="89"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</row>
    <row r="90"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</row>
    <row r="91"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</row>
    <row r="92"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</row>
    <row r="93"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</row>
    <row r="94"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</row>
    <row r="95"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</row>
    <row r="96"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</row>
    <row r="97"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</row>
    <row r="98"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</row>
    <row r="99"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</row>
    <row r="100"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</row>
    <row r="101"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</row>
    <row r="102"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</row>
    <row r="103"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</row>
    <row r="104"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</row>
    <row r="105"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</row>
    <row r="106"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</row>
    <row r="107"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</row>
    <row r="108"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</row>
    <row r="109"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</row>
    <row r="110"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</row>
    <row r="111"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</row>
    <row r="112"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</row>
    <row r="113"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</row>
    <row r="114"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</row>
    <row r="115"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</row>
    <row r="116"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</row>
    <row r="117"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</row>
    <row r="118"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</row>
    <row r="119"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</row>
    <row r="120"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</row>
    <row r="121"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</row>
    <row r="122"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</row>
    <row r="123"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</row>
    <row r="124"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</row>
    <row r="125"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</row>
    <row r="126"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</row>
    <row r="127"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</row>
    <row r="128"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</row>
    <row r="129"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</row>
    <row r="130"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</row>
    <row r="131"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</row>
    <row r="132"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</row>
    <row r="133"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</row>
    <row r="134"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</row>
    <row r="135"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</row>
    <row r="136"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</row>
    <row r="137"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</row>
    <row r="138"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</row>
    <row r="139"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</row>
    <row r="140"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</row>
    <row r="141"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</row>
    <row r="142"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</row>
    <row r="143"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</row>
    <row r="144"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</row>
    <row r="145"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</row>
    <row r="146"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</row>
    <row r="147"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</row>
    <row r="148"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</row>
    <row r="149"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</row>
    <row r="150"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</row>
    <row r="151"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</row>
    <row r="152"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</row>
    <row r="153"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</row>
    <row r="154"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</row>
    <row r="155"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</row>
    <row r="156"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</row>
    <row r="157"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</row>
    <row r="158"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</row>
    <row r="159"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</row>
    <row r="160"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</row>
    <row r="161"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</row>
    <row r="162"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</row>
    <row r="163"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</row>
    <row r="164"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</row>
    <row r="165"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</row>
    <row r="166"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</row>
    <row r="167"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</row>
    <row r="168"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</row>
    <row r="169"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</row>
    <row r="170"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</row>
    <row r="171"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</row>
    <row r="172"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</row>
    <row r="173"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</row>
    <row r="174"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</row>
    <row r="175"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</row>
    <row r="176"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</row>
    <row r="177"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</row>
    <row r="178"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</row>
    <row r="179"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</row>
    <row r="180"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</row>
    <row r="181"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</row>
    <row r="182"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</row>
    <row r="183"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</row>
    <row r="184"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</row>
    <row r="185"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</row>
    <row r="186"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</row>
    <row r="187"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</row>
    <row r="188"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</row>
    <row r="189"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</row>
    <row r="190"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</row>
    <row r="191"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</row>
    <row r="192"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</row>
    <row r="193"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</row>
    <row r="194"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</row>
    <row r="195">
      <c r="AD195" s="9" t="n"/>
      <c r="AE195" s="9" t="n"/>
      <c r="AF195" s="9" t="n"/>
    </row>
    <row r="196">
      <c r="AD196" s="9" t="n"/>
      <c r="AE196" s="9" t="n"/>
      <c r="AF196" s="9" t="n"/>
    </row>
    <row r="197">
      <c r="AD197" s="9" t="n"/>
      <c r="AE197" s="9" t="n"/>
      <c r="AF197" s="9" t="n"/>
    </row>
    <row r="198">
      <c r="AD198" s="9" t="n"/>
      <c r="AE198" s="9" t="n"/>
      <c r="AF198" s="9" t="n"/>
    </row>
    <row r="199">
      <c r="AD199" s="9" t="n"/>
      <c r="AE199" s="9" t="n"/>
      <c r="AF199" s="9" t="n"/>
    </row>
    <row r="200">
      <c r="AD200" s="9" t="n"/>
      <c r="AE200" s="9" t="n"/>
      <c r="AF200" s="9" t="n"/>
    </row>
  </sheetData>
  <autoFilter ref="A2:AF200"/>
  <mergeCells count="2">
    <mergeCell ref="P1:AF1"/>
    <mergeCell ref="C1:O1"/>
  </mergeCells>
  <conditionalFormatting sqref="C3:AZ200">
    <cfRule type="expression" priority="5" dxfId="8" stopIfTrue="1">
      <formula>AND(C3&lt;&gt;"",ISNUMBER(C3),(EDATE(C3,12)-TODAY())&lt;0)</formula>
    </cfRule>
    <cfRule type="expression" priority="6" dxfId="9" stopIfTrue="1">
      <formula>AND(C3&lt;&gt;"",ISNUMBER(C3),(EDATE(C3,12)-TODAY())&lt;=30)</formula>
    </cfRule>
    <cfRule type="expression" priority="7" dxfId="10" stopIfTrue="1">
      <formula>AND(C3&lt;&gt;"",ISNUMBER(C3),(EDATE(C3,12)-TODAY())&gt;30,(EDATE(C3,12)-TODAY())&lt;=60)</formula>
    </cfRule>
    <cfRule type="expression" priority="8" dxfId="11" stopIfTrue="1">
      <formula>AND(C3&lt;&gt;"",ISNUMBER(C3),(EDATE(C3,12)-TODAY())&gt;60)</formula>
    </cfRule>
  </conditionalFormatting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7" activePane="bottomLeft" state="frozen"/>
      <selection pane="bottomLeft" activeCell="F22" sqref="F22"/>
    </sheetView>
  </sheetViews>
  <sheetFormatPr baseColWidth="8" defaultRowHeight="15"/>
  <cols>
    <col width="28.42578125" bestFit="1" customWidth="1" style="15" min="1" max="1"/>
    <col width="18.140625" bestFit="1" customWidth="1" style="15" min="2" max="2"/>
    <col width="10.85546875" bestFit="1" customWidth="1" style="15" min="3" max="3"/>
    <col width="7.85546875" bestFit="1" customWidth="1" style="15" min="4" max="4"/>
    <col width="11.7109375" bestFit="1" customWidth="1" style="15" min="5" max="5"/>
    <col width="27.28515625" bestFit="1" customWidth="1" style="15" min="6" max="6"/>
    <col width="13.42578125" customWidth="1" style="15" min="8" max="8"/>
  </cols>
  <sheetData>
    <row r="1" ht="21" customHeight="1" s="15">
      <c r="A1" s="14" t="inlineStr">
        <is>
          <t>Contractor Certifications Dashboard</t>
        </is>
      </c>
    </row>
    <row r="3">
      <c r="A3" s="13" t="inlineStr">
        <is>
          <t>Total Contractors</t>
        </is>
      </c>
      <c r="C3" s="13" t="inlineStr">
        <is>
          <t>Total Workers</t>
        </is>
      </c>
      <c r="E3" s="13" t="inlineStr">
        <is>
          <t>Active Workers</t>
        </is>
      </c>
      <c r="G3" s="13" t="inlineStr">
        <is>
          <t>Today</t>
        </is>
      </c>
    </row>
    <row r="4">
      <c r="A4" s="12">
        <f>COUNTA(Contractors!A2:A50)</f>
        <v/>
      </c>
      <c r="C4" s="12">
        <f>COUNTA(Workers!A2:A200)</f>
        <v/>
      </c>
      <c r="E4" s="12">
        <f>COUNTIFS(Workers!A2:A200,"&lt;&gt;",Workers!D2:D200,"active")</f>
        <v/>
      </c>
      <c r="G4" s="12">
        <f>TEXT(TODAY(),"mm/dd/yyyy")</f>
        <v/>
      </c>
    </row>
    <row r="5"/>
    <row r="7" ht="17.25" customHeight="1" s="15">
      <c r="A7" s="16" t="inlineStr">
        <is>
          <t>Compliance by Certification</t>
        </is>
      </c>
    </row>
    <row r="8">
      <c r="A8" s="7" t="inlineStr">
        <is>
          <t>Certification</t>
        </is>
      </c>
      <c r="B8" s="7" t="inlineStr">
        <is>
          <t>Category</t>
        </is>
      </c>
      <c r="C8" s="7" t="inlineStr">
        <is>
          <t>Completed</t>
        </is>
      </c>
      <c r="D8" s="7" t="inlineStr">
        <is>
          <t>Missing</t>
        </is>
      </c>
      <c r="E8" s="7" t="inlineStr">
        <is>
          <t>% Complete</t>
        </is>
      </c>
      <c r="F8" s="7" t="inlineStr">
        <is>
          <t>Bar</t>
        </is>
      </c>
    </row>
    <row r="9">
      <c r="A9" s="5">
        <f>Certifications!A2</f>
        <v/>
      </c>
      <c r="B9" s="5">
        <f>Certifications!B2</f>
        <v/>
      </c>
      <c r="C9" s="5">
        <f>IFERROR(COUNTA(INDEX(Tracker!$C$3:$AZ$200,0,MATCH($A9,Tracker!$C$2:$AZ$2,0))),0)</f>
        <v/>
      </c>
      <c r="D9" s="5">
        <f>COUNTA(Workers!A$2:A$200)-C9</f>
        <v/>
      </c>
      <c r="E9" s="6">
        <f>IFERROR(C9/(C9+D9),0)</f>
        <v/>
      </c>
      <c r="F9" s="10">
        <f>REPT("■",ROUND(E9*20,0))</f>
        <v/>
      </c>
    </row>
    <row r="10">
      <c r="A10" s="5">
        <f>Certifications!A3</f>
        <v/>
      </c>
      <c r="B10" s="5">
        <f>Certifications!B3</f>
        <v/>
      </c>
      <c r="C10" s="5">
        <f>IFERROR(COUNTA(INDEX(Tracker!$C$3:$AZ$200,0,MATCH($A10,Tracker!$C$2:$AZ$2,0))),0)</f>
        <v/>
      </c>
      <c r="D10" s="5">
        <f>COUNTA(Workers!A$2:A$200)-C10</f>
        <v/>
      </c>
      <c r="E10" s="6">
        <f>IFERROR(C10/(C10+D10),0)</f>
        <v/>
      </c>
      <c r="F10" s="10">
        <f>REPT("■",ROUND(E10*20,0))</f>
        <v/>
      </c>
    </row>
    <row r="11">
      <c r="A11" s="5">
        <f>Certifications!A4</f>
        <v/>
      </c>
      <c r="B11" s="5">
        <f>Certifications!B4</f>
        <v/>
      </c>
      <c r="C11" s="5">
        <f>IFERROR(COUNTA(INDEX(Tracker!$C$3:$AZ$200,0,MATCH($A11,Tracker!$C$2:$AZ$2,0))),0)</f>
        <v/>
      </c>
      <c r="D11" s="5">
        <f>COUNTA(Workers!A$2:A$200)-C11</f>
        <v/>
      </c>
      <c r="E11" s="6">
        <f>IFERROR(C11/(C11+D11),0)</f>
        <v/>
      </c>
      <c r="F11" s="10">
        <f>REPT("■",ROUND(E11*20,0))</f>
        <v/>
      </c>
    </row>
    <row r="12">
      <c r="A12" s="5">
        <f>Certifications!A5</f>
        <v/>
      </c>
      <c r="B12" s="5">
        <f>Certifications!B5</f>
        <v/>
      </c>
      <c r="C12" s="5">
        <f>IFERROR(COUNTA(INDEX(Tracker!$C$3:$AZ$200,0,MATCH($A12,Tracker!$C$2:$AZ$2,0))),0)</f>
        <v/>
      </c>
      <c r="D12" s="5">
        <f>COUNTA(Workers!A$2:A$200)-C12</f>
        <v/>
      </c>
      <c r="E12" s="6">
        <f>IFERROR(C12/(C12+D12),0)</f>
        <v/>
      </c>
      <c r="F12" s="10">
        <f>REPT("■",ROUND(E12*20,0))</f>
        <v/>
      </c>
    </row>
    <row r="13">
      <c r="A13" s="5">
        <f>Certifications!A6</f>
        <v/>
      </c>
      <c r="B13" s="5">
        <f>Certifications!B6</f>
        <v/>
      </c>
      <c r="C13" s="5">
        <f>IFERROR(COUNTA(INDEX(Tracker!$C$3:$AZ$200,0,MATCH($A13,Tracker!$C$2:$AZ$2,0))),0)</f>
        <v/>
      </c>
      <c r="D13" s="5">
        <f>COUNTA(Workers!A$2:A$200)-C13</f>
        <v/>
      </c>
      <c r="E13" s="6">
        <f>IFERROR(C13/(C13+D13),0)</f>
        <v/>
      </c>
      <c r="F13" s="10">
        <f>REPT("■",ROUND(E13*20,0))</f>
        <v/>
      </c>
    </row>
    <row r="14">
      <c r="A14" s="5">
        <f>Certifications!A7</f>
        <v/>
      </c>
      <c r="B14" s="5">
        <f>Certifications!B7</f>
        <v/>
      </c>
      <c r="C14" s="5">
        <f>IFERROR(COUNTA(INDEX(Tracker!$C$3:$AZ$200,0,MATCH($A14,Tracker!$C$2:$AZ$2,0))),0)</f>
        <v/>
      </c>
      <c r="D14" s="5">
        <f>COUNTA(Workers!A$2:A$200)-C14</f>
        <v/>
      </c>
      <c r="E14" s="6">
        <f>IFERROR(C14/(C14+D14),0)</f>
        <v/>
      </c>
      <c r="F14" s="10">
        <f>REPT("■",ROUND(E14*20,0))</f>
        <v/>
      </c>
    </row>
    <row r="15">
      <c r="A15" s="5">
        <f>Certifications!A8</f>
        <v/>
      </c>
      <c r="B15" s="5">
        <f>Certifications!B8</f>
        <v/>
      </c>
      <c r="C15" s="5">
        <f>IFERROR(COUNTA(INDEX(Tracker!$C$3:$AZ$200,0,MATCH($A15,Tracker!$C$2:$AZ$2,0))),0)</f>
        <v/>
      </c>
      <c r="D15" s="5">
        <f>COUNTA(Workers!A$2:A$200)-C15</f>
        <v/>
      </c>
      <c r="E15" s="6">
        <f>IFERROR(C15/(C15+D15),0)</f>
        <v/>
      </c>
      <c r="F15" s="10">
        <f>REPT("■",ROUND(E15*20,0))</f>
        <v/>
      </c>
    </row>
    <row r="16">
      <c r="A16" s="5">
        <f>Certifications!A9</f>
        <v/>
      </c>
      <c r="B16" s="5">
        <f>Certifications!B9</f>
        <v/>
      </c>
      <c r="C16" s="5">
        <f>IFERROR(COUNTA(INDEX(Tracker!$C$3:$AZ$200,0,MATCH($A16,Tracker!$C$2:$AZ$2,0))),0)</f>
        <v/>
      </c>
      <c r="D16" s="5">
        <f>COUNTA(Workers!A$2:A$200)-C16</f>
        <v/>
      </c>
      <c r="E16" s="6">
        <f>IFERROR(C16/(C16+D16),0)</f>
        <v/>
      </c>
      <c r="F16" s="10">
        <f>REPT("■",ROUND(E16*20,0))</f>
        <v/>
      </c>
    </row>
    <row r="17">
      <c r="A17" s="5">
        <f>Certifications!A10</f>
        <v/>
      </c>
      <c r="B17" s="5">
        <f>Certifications!B10</f>
        <v/>
      </c>
      <c r="C17" s="5">
        <f>IFERROR(COUNTA(INDEX(Tracker!$C$3:$AZ$200,0,MATCH($A17,Tracker!$C$2:$AZ$2,0))),0)</f>
        <v/>
      </c>
      <c r="D17" s="5">
        <f>COUNTA(Workers!A$2:A$200)-C17</f>
        <v/>
      </c>
      <c r="E17" s="6">
        <f>IFERROR(C17/(C17+D17),0)</f>
        <v/>
      </c>
      <c r="F17" s="10">
        <f>REPT("■",ROUND(E17*20,0))</f>
        <v/>
      </c>
    </row>
    <row r="18">
      <c r="A18" s="5">
        <f>Certifications!A11</f>
        <v/>
      </c>
      <c r="B18" s="5">
        <f>Certifications!B11</f>
        <v/>
      </c>
      <c r="C18" s="5">
        <f>IFERROR(COUNTA(INDEX(Tracker!$C$3:$AZ$200,0,MATCH($A18,Tracker!$C$2:$AZ$2,0))),0)</f>
        <v/>
      </c>
      <c r="D18" s="5">
        <f>COUNTA(Workers!A$2:A$200)-C18</f>
        <v/>
      </c>
      <c r="E18" s="6">
        <f>IFERROR(C18/(C18+D18),0)</f>
        <v/>
      </c>
      <c r="F18" s="10">
        <f>REPT("■",ROUND(E18*20,0))</f>
        <v/>
      </c>
    </row>
    <row r="19">
      <c r="A19" s="5">
        <f>Certifications!A12</f>
        <v/>
      </c>
      <c r="B19" s="5">
        <f>Certifications!B12</f>
        <v/>
      </c>
      <c r="C19" s="5">
        <f>IFERROR(COUNTA(INDEX(Tracker!$C$3:$AZ$200,0,MATCH($A19,Tracker!$C$2:$AZ$2,0))),0)</f>
        <v/>
      </c>
      <c r="D19" s="5">
        <f>COUNTA(Workers!A$2:A$200)-C19</f>
        <v/>
      </c>
      <c r="E19" s="6">
        <f>IFERROR(C19/(C19+D19),0)</f>
        <v/>
      </c>
      <c r="F19" s="10">
        <f>REPT("■",ROUND(E19*20,0))</f>
        <v/>
      </c>
    </row>
    <row r="20">
      <c r="A20" s="5">
        <f>Certifications!A13</f>
        <v/>
      </c>
      <c r="B20" s="5">
        <f>Certifications!B13</f>
        <v/>
      </c>
      <c r="C20" s="5">
        <f>IFERROR(COUNTA(INDEX(Tracker!$C$3:$AZ$200,0,MATCH($A20,Tracker!$C$2:$AZ$2,0))),0)</f>
        <v/>
      </c>
      <c r="D20" s="5">
        <f>COUNTA(Workers!A$2:A$200)-C20</f>
        <v/>
      </c>
      <c r="E20" s="6">
        <f>IFERROR(C20/(C20+D20),0)</f>
        <v/>
      </c>
      <c r="F20" s="10">
        <f>REPT("■",ROUND(E20*20,0))</f>
        <v/>
      </c>
    </row>
    <row r="21">
      <c r="A21" s="5">
        <f>Certifications!A14</f>
        <v/>
      </c>
      <c r="B21" s="5">
        <f>Certifications!B14</f>
        <v/>
      </c>
      <c r="C21" s="5">
        <f>IFERROR(COUNTA(INDEX(Tracker!$C$3:$AZ$200,0,MATCH($A21,Tracker!$C$2:$AZ$2,0))),0)</f>
        <v/>
      </c>
      <c r="D21" s="5">
        <f>COUNTA(Workers!A$2:A$200)-C21</f>
        <v/>
      </c>
      <c r="E21" s="6">
        <f>IFERROR(C21/(C21+D21),0)</f>
        <v/>
      </c>
      <c r="F21" s="10">
        <f>REPT("■",ROUND(E21*20,0))</f>
        <v/>
      </c>
    </row>
    <row r="22">
      <c r="A22" s="5">
        <f>Certifications!A15</f>
        <v/>
      </c>
      <c r="B22" s="5">
        <f>Certifications!B15</f>
        <v/>
      </c>
      <c r="C22" s="5">
        <f>IFERROR(COUNTA(INDEX(Tracker!$C$3:$AZ$200,0,MATCH($A22,Tracker!$C$2:$AZ$2,0))),0)</f>
        <v/>
      </c>
      <c r="D22" s="5">
        <f>COUNTA(Workers!A$2:A$200)-C22</f>
        <v/>
      </c>
      <c r="E22" s="6">
        <f>IFERROR(C22/(C22+D22),0)</f>
        <v/>
      </c>
      <c r="F22" s="10">
        <f>REPT("■",ROUND(E22*20,0))</f>
        <v/>
      </c>
    </row>
    <row r="23">
      <c r="A23" s="5">
        <f>Certifications!A16</f>
        <v/>
      </c>
      <c r="B23" s="5">
        <f>Certifications!B16</f>
        <v/>
      </c>
      <c r="C23" s="5">
        <f>IFERROR(COUNTA(INDEX(Tracker!$C$3:$AZ$200,0,MATCH($A23,Tracker!$C$2:$AZ$2,0))),0)</f>
        <v/>
      </c>
      <c r="D23" s="5">
        <f>COUNTA(Workers!A$2:A$200)-C23</f>
        <v/>
      </c>
      <c r="E23" s="6">
        <f>IFERROR(C23/(C23+D23),0)</f>
        <v/>
      </c>
      <c r="F23" s="10">
        <f>REPT("■",ROUND(E23*20,0))</f>
        <v/>
      </c>
    </row>
    <row r="24">
      <c r="A24" s="5">
        <f>Certifications!A17</f>
        <v/>
      </c>
      <c r="B24" s="5">
        <f>Certifications!B17</f>
        <v/>
      </c>
      <c r="C24" s="5">
        <f>IFERROR(COUNTA(INDEX(Tracker!$C$3:$AZ$200,0,MATCH($A24,Tracker!$C$2:$AZ$2,0))),0)</f>
        <v/>
      </c>
      <c r="D24" s="5">
        <f>COUNTA(Workers!A$2:A$200)-C24</f>
        <v/>
      </c>
      <c r="E24" s="6">
        <f>IFERROR(C24/(C24+D24),0)</f>
        <v/>
      </c>
      <c r="F24" s="10">
        <f>REPT("■",ROUND(E24*20,0))</f>
        <v/>
      </c>
    </row>
    <row r="25">
      <c r="A25" s="5">
        <f>Certifications!A18</f>
        <v/>
      </c>
      <c r="B25" s="5">
        <f>Certifications!B18</f>
        <v/>
      </c>
      <c r="C25" s="5">
        <f>IFERROR(COUNTA(INDEX(Tracker!$C$3:$AZ$200,0,MATCH($A25,Tracker!$C$2:$AZ$2,0))),0)</f>
        <v/>
      </c>
      <c r="D25" s="5">
        <f>COUNTA(Workers!A$2:A$200)-C25</f>
        <v/>
      </c>
      <c r="E25" s="6">
        <f>IFERROR(C25/(C25+D25),0)</f>
        <v/>
      </c>
      <c r="F25" s="10">
        <f>REPT("■",ROUND(E25*20,0))</f>
        <v/>
      </c>
    </row>
    <row r="26">
      <c r="A26" s="5">
        <f>Certifications!A19</f>
        <v/>
      </c>
      <c r="B26" s="5">
        <f>Certifications!B19</f>
        <v/>
      </c>
      <c r="C26" s="5">
        <f>IFERROR(COUNTA(INDEX(Tracker!$C$3:$AZ$200,0,MATCH($A26,Tracker!$C$2:$AZ$2,0))),0)</f>
        <v/>
      </c>
      <c r="D26" s="5">
        <f>COUNTA(Workers!A$2:A$200)-C26</f>
        <v/>
      </c>
      <c r="E26" s="6">
        <f>IFERROR(C26/(C26+D26),0)</f>
        <v/>
      </c>
      <c r="F26" s="10">
        <f>REPT("■",ROUND(E26*20,0))</f>
        <v/>
      </c>
    </row>
    <row r="27">
      <c r="A27" s="5">
        <f>Certifications!A20</f>
        <v/>
      </c>
      <c r="B27" s="5">
        <f>Certifications!B20</f>
        <v/>
      </c>
      <c r="C27" s="5">
        <f>IFERROR(COUNTA(INDEX(Tracker!$C$3:$AZ$200,0,MATCH($A27,Tracker!$C$2:$AZ$2,0))),0)</f>
        <v/>
      </c>
      <c r="D27" s="5">
        <f>COUNTA(Workers!A$2:A$200)-C27</f>
        <v/>
      </c>
      <c r="E27" s="6">
        <f>IFERROR(C27/(C27+D27),0)</f>
        <v/>
      </c>
      <c r="F27" s="10">
        <f>REPT("■",ROUND(E27*20,0))</f>
        <v/>
      </c>
    </row>
    <row r="28">
      <c r="A28" s="5">
        <f>Certifications!A21</f>
        <v/>
      </c>
      <c r="B28" s="5">
        <f>Certifications!B21</f>
        <v/>
      </c>
      <c r="C28" s="5">
        <f>IFERROR(COUNTA(INDEX(Tracker!$C$3:$AZ$200,0,MATCH($A28,Tracker!$C$2:$AZ$2,0))),0)</f>
        <v/>
      </c>
      <c r="D28" s="5">
        <f>COUNTA(Workers!A$2:A$200)-C28</f>
        <v/>
      </c>
      <c r="E28" s="6">
        <f>IFERROR(C28/(C28+D28),0)</f>
        <v/>
      </c>
      <c r="F28" s="10">
        <f>REPT("■",ROUND(E28*20,0))</f>
        <v/>
      </c>
    </row>
    <row r="29">
      <c r="A29" s="5">
        <f>Certifications!A22</f>
        <v/>
      </c>
      <c r="B29" s="5">
        <f>Certifications!B22</f>
        <v/>
      </c>
      <c r="C29" s="5">
        <f>IFERROR(COUNTA(INDEX(Tracker!$C$3:$AZ$200,0,MATCH($A29,Tracker!$C$2:$AZ$2,0))),0)</f>
        <v/>
      </c>
      <c r="D29" s="5">
        <f>COUNTA(Workers!A$2:A$200)-C29</f>
        <v/>
      </c>
      <c r="E29" s="6">
        <f>IFERROR(C29/(C29+D29),0)</f>
        <v/>
      </c>
      <c r="F29" s="10">
        <f>REPT("■",ROUND(E29*20,0))</f>
        <v/>
      </c>
    </row>
    <row r="30">
      <c r="A30" s="5">
        <f>Certifications!A23</f>
        <v/>
      </c>
      <c r="B30" s="5">
        <f>Certifications!B23</f>
        <v/>
      </c>
      <c r="C30" s="5">
        <f>IFERROR(COUNTA(INDEX(Tracker!$C$3:$AZ$200,0,MATCH($A30,Tracker!$C$2:$AZ$2,0))),0)</f>
        <v/>
      </c>
      <c r="D30" s="5">
        <f>COUNTA(Workers!A$2:A$200)-C30</f>
        <v/>
      </c>
      <c r="E30" s="6">
        <f>IFERROR(C30/(C30+D30),0)</f>
        <v/>
      </c>
      <c r="F30" s="10">
        <f>REPT("■",ROUND(E30*20,0))</f>
        <v/>
      </c>
    </row>
    <row r="31">
      <c r="A31" s="5">
        <f>Certifications!A24</f>
        <v/>
      </c>
      <c r="B31" s="5">
        <f>Certifications!B24</f>
        <v/>
      </c>
      <c r="C31" s="5">
        <f>IFERROR(COUNTA(INDEX(Tracker!$C$3:$AZ$200,0,MATCH($A31,Tracker!$C$2:$AZ$2,0))),0)</f>
        <v/>
      </c>
      <c r="D31" s="5">
        <f>COUNTA(Workers!A$2:A$200)-C31</f>
        <v/>
      </c>
      <c r="E31" s="6">
        <f>IFERROR(C31/(C31+D31),0)</f>
        <v/>
      </c>
      <c r="F31" s="10">
        <f>REPT("■",ROUND(E31*20,0))</f>
        <v/>
      </c>
    </row>
    <row r="32">
      <c r="A32" s="5">
        <f>Certifications!A25</f>
        <v/>
      </c>
      <c r="B32" s="5">
        <f>Certifications!B25</f>
        <v/>
      </c>
      <c r="C32" s="5">
        <f>IFERROR(COUNTA(INDEX(Tracker!$C$3:$AZ$200,0,MATCH($A32,Tracker!$C$2:$AZ$2,0))),0)</f>
        <v/>
      </c>
      <c r="D32" s="5">
        <f>COUNTA(Workers!A$2:A$200)-C32</f>
        <v/>
      </c>
      <c r="E32" s="6">
        <f>IFERROR(C32/(C32+D32),0)</f>
        <v/>
      </c>
      <c r="F32" s="10">
        <f>REPT("■",ROUND(E32*20,0))</f>
        <v/>
      </c>
    </row>
    <row r="33">
      <c r="A33" s="5">
        <f>Certifications!A26</f>
        <v/>
      </c>
      <c r="B33" s="5">
        <f>Certifications!B26</f>
        <v/>
      </c>
      <c r="C33" s="5">
        <f>IFERROR(COUNTA(INDEX(Tracker!$C$3:$AZ$200,0,MATCH($A33,Tracker!$C$2:$AZ$2,0))),0)</f>
        <v/>
      </c>
      <c r="D33" s="5">
        <f>COUNTA(Workers!A$2:A$200)-C33</f>
        <v/>
      </c>
      <c r="E33" s="6">
        <f>IFERROR(C33/(C33+D33),0)</f>
        <v/>
      </c>
      <c r="F33" s="10">
        <f>REPT("■",ROUND(E33*20,0))</f>
        <v/>
      </c>
    </row>
    <row r="34">
      <c r="A34" s="5">
        <f>Certifications!A27</f>
        <v/>
      </c>
      <c r="B34" s="5">
        <f>Certifications!B27</f>
        <v/>
      </c>
      <c r="C34" s="5">
        <f>IFERROR(COUNTA(INDEX(Tracker!$C$3:$AZ$200,0,MATCH($A34,Tracker!$C$2:$AZ$2,0))),0)</f>
        <v/>
      </c>
      <c r="D34" s="5">
        <f>COUNTA(Workers!A$2:A$200)-C34</f>
        <v/>
      </c>
      <c r="E34" s="6">
        <f>IFERROR(C34/(C34+D34),0)</f>
        <v/>
      </c>
      <c r="F34" s="10">
        <f>REPT("■",ROUND(E34*20,0))</f>
        <v/>
      </c>
    </row>
    <row r="35">
      <c r="A35" s="5">
        <f>Certifications!A28</f>
        <v/>
      </c>
      <c r="B35" s="5">
        <f>Certifications!B28</f>
        <v/>
      </c>
      <c r="C35" s="5">
        <f>IFERROR(COUNTA(INDEX(Tracker!$C$3:$AZ$200,0,MATCH($A35,Tracker!$C$2:$AZ$2,0))),0)</f>
        <v/>
      </c>
      <c r="D35" s="5">
        <f>COUNTA(Workers!A$2:A$200)-C35</f>
        <v/>
      </c>
      <c r="E35" s="6">
        <f>IFERROR(C35/(C35+D35),0)</f>
        <v/>
      </c>
      <c r="F35" s="10">
        <f>REPT("■",ROUND(E35*20,0))</f>
        <v/>
      </c>
    </row>
    <row r="36">
      <c r="A36" s="5">
        <f>Certifications!A29</f>
        <v/>
      </c>
      <c r="B36" s="5">
        <f>Certifications!B29</f>
        <v/>
      </c>
      <c r="C36" s="5">
        <f>IFERROR(COUNTA(INDEX(Tracker!$C$3:$AZ$200,0,MATCH($A36,Tracker!$C$2:$AZ$2,0))),0)</f>
        <v/>
      </c>
      <c r="D36" s="5">
        <f>COUNTA(Workers!A$2:A$200)-C36</f>
        <v/>
      </c>
      <c r="E36" s="6">
        <f>IFERROR(C36/(C36+D36),0)</f>
        <v/>
      </c>
      <c r="F36" s="10">
        <f>REPT("■",ROUND(E36*20,0))</f>
        <v/>
      </c>
    </row>
    <row r="37">
      <c r="A37" s="5">
        <f>Certifications!A30</f>
        <v/>
      </c>
      <c r="B37" s="5">
        <f>Certifications!B30</f>
        <v/>
      </c>
      <c r="C37" s="5">
        <f>IFERROR(COUNTA(INDEX(Tracker!$C$3:$AZ$200,0,MATCH($A37,Tracker!$C$2:$AZ$2,0))),0)</f>
        <v/>
      </c>
      <c r="D37" s="5">
        <f>COUNTA(Workers!A$2:A$200)-C37</f>
        <v/>
      </c>
      <c r="E37" s="6">
        <f>IFERROR(C37/(C37+D37),0)</f>
        <v/>
      </c>
      <c r="F37" s="10">
        <f>REPT("■",ROUND(E37*20,0))</f>
        <v/>
      </c>
    </row>
    <row r="38">
      <c r="A38" s="5">
        <f>Certifications!A31</f>
        <v/>
      </c>
      <c r="B38" s="5">
        <f>Certifications!B31</f>
        <v/>
      </c>
      <c r="C38" s="5">
        <f>IFERROR(COUNTA(INDEX(Tracker!$C$3:$AZ$200,0,MATCH($A38,Tracker!$C$2:$AZ$2,0))),0)</f>
        <v/>
      </c>
      <c r="D38" s="5">
        <f>COUNTA(Workers!A$2:A$200)-C38</f>
        <v/>
      </c>
      <c r="E38" s="6">
        <f>IFERROR(C38/(C38+D38),0)</f>
        <v/>
      </c>
      <c r="F38" s="10">
        <f>REPT("■",ROUND(E38*20,0))</f>
        <v/>
      </c>
    </row>
    <row r="39"/>
    <row r="40"/>
    <row r="41"/>
    <row r="42"/>
  </sheetData>
  <mergeCells count="10">
    <mergeCell ref="C4:D5"/>
    <mergeCell ref="A4:B5"/>
    <mergeCell ref="G4:H5"/>
    <mergeCell ref="E4:F5"/>
    <mergeCell ref="A1:F1"/>
    <mergeCell ref="E3:F3"/>
    <mergeCell ref="C3:D3"/>
    <mergeCell ref="A3:B3"/>
    <mergeCell ref="G3:H3"/>
    <mergeCell ref="A7:F7"/>
  </mergeCells>
  <conditionalFormatting sqref="E9:E26">
    <cfRule type="cellIs" priority="1" operator="lessThan" dxfId="2">
      <formula>0.7</formula>
    </cfRule>
    <cfRule type="cellIs" priority="2" operator="between" dxfId="1">
      <formula>0.7</formula>
      <formula>0.9</formula>
    </cfRule>
    <cfRule type="cellIs" priority="3" operator="greaterThanOrEqual" dxfId="0">
      <formula>0.9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2026-04-22T14:40:48Z</dcterms:created>
  <dcterms:modified xsi:type="dcterms:W3CDTF">2026-05-13T17:29:15Z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d95f39c-8218-4425-a791-63c9e13c8708_Enabled" fmtid="{D5CDD505-2E9C-101B-9397-08002B2CF9AE}" pid="2">
    <vt:lpwstr>true</vt:lpwstr>
  </property>
  <property name="MSIP_Label_7d95f39c-8218-4425-a791-63c9e13c8708_SetDate" fmtid="{D5CDD505-2E9C-101B-9397-08002B2CF9AE}" pid="3">
    <vt:lpwstr>2026-04-22T17:48:26Z</vt:lpwstr>
  </property>
  <property name="MSIP_Label_7d95f39c-8218-4425-a791-63c9e13c8708_Method" fmtid="{D5CDD505-2E9C-101B-9397-08002B2CF9AE}" pid="4">
    <vt:lpwstr>Privileged</vt:lpwstr>
  </property>
  <property name="MSIP_Label_7d95f39c-8218-4425-a791-63c9e13c8708_Name" fmtid="{D5CDD505-2E9C-101B-9397-08002B2CF9AE}" pid="5">
    <vt:lpwstr>7d95f39c-8218-4425-a791-63c9e13c8708</vt:lpwstr>
  </property>
  <property name="MSIP_Label_7d95f39c-8218-4425-a791-63c9e13c8708_SiteId" fmtid="{D5CDD505-2E9C-101B-9397-08002B2CF9AE}" pid="6">
    <vt:lpwstr>37247798-f42c-42fd-8a37-d49c7128d36b</vt:lpwstr>
  </property>
  <property name="MSIP_Label_7d95f39c-8218-4425-a791-63c9e13c8708_ActionId" fmtid="{D5CDD505-2E9C-101B-9397-08002B2CF9AE}" pid="7">
    <vt:lpwstr>a480f3aa-b626-4976-8760-887f95fa6a90</vt:lpwstr>
  </property>
  <property name="MSIP_Label_7d95f39c-8218-4425-a791-63c9e13c8708_ContentBits" fmtid="{D5CDD505-2E9C-101B-9397-08002B2CF9AE}" pid="8">
    <vt:lpwstr>0</vt:lpwstr>
  </property>
  <property name="MSIP_Label_7d95f39c-8218-4425-a791-63c9e13c8708_Tag" fmtid="{D5CDD505-2E9C-101B-9397-08002B2CF9AE}" pid="9">
    <vt:lpwstr>10, 0, 1, 1</vt:lpwstr>
  </property>
</Properties>
</file>